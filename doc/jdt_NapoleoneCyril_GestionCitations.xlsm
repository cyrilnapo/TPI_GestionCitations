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733BFE9F-F0D6-4B8E-94A6-83A0D3E56914}"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C168" i="12"/>
  <c r="D167" i="12"/>
  <c r="D166" i="12"/>
  <c r="D165"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87" i="12"/>
  <c r="D24" i="12"/>
  <c r="D233" i="12"/>
  <c r="D48" i="12"/>
  <c r="D232" i="12"/>
  <c r="D258" i="12"/>
  <c r="D268" i="12"/>
  <c r="D320" i="12"/>
  <c r="D108" i="12"/>
  <c r="D240" i="12"/>
  <c r="D244" i="12"/>
  <c r="D292" i="12"/>
  <c r="D257" i="12"/>
  <c r="D60" i="12"/>
  <c r="D132" i="12"/>
  <c r="D281" i="12"/>
  <c r="D252" i="12"/>
  <c r="D317" i="12"/>
  <c r="D280" i="12"/>
  <c r="D300" i="12"/>
  <c r="D264" i="12"/>
  <c r="D306" i="12"/>
  <c r="D288" i="12"/>
  <c r="D222" i="12"/>
  <c r="D208" i="12"/>
  <c r="D36" i="12"/>
  <c r="D12" i="12"/>
  <c r="D316" i="12"/>
  <c r="D305" i="12"/>
  <c r="D293" i="12"/>
  <c r="D220" i="12"/>
  <c r="D312" i="12"/>
  <c r="D221" i="12"/>
  <c r="D304" i="12"/>
  <c r="D319" i="12"/>
  <c r="D84" i="12"/>
  <c r="D256" i="12"/>
  <c r="D276" i="12"/>
  <c r="D96" i="12"/>
  <c r="D318" i="12"/>
  <c r="D144" i="12"/>
  <c r="D72" i="12"/>
  <c r="D120" i="12"/>
  <c r="D228" i="12"/>
  <c r="D324" i="12"/>
  <c r="D185" i="12"/>
  <c r="D184" i="12"/>
  <c r="D186" i="12"/>
  <c r="D192" i="12"/>
  <c r="D197" i="12"/>
  <c r="D204" i="12"/>
  <c r="D196" i="12"/>
  <c r="D210" i="12"/>
  <c r="D209" i="12"/>
  <c r="D216" i="12"/>
  <c r="D172" i="12"/>
  <c r="D174" i="12"/>
  <c r="D173" i="12"/>
  <c r="D180" i="12"/>
  <c r="D160" i="12"/>
  <c r="D162" i="12"/>
  <c r="D164" i="12"/>
  <c r="D161" i="12"/>
  <c r="D163" i="12"/>
  <c r="D168"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50" i="12"/>
  <c r="D149" i="12"/>
  <c r="D148" i="12"/>
  <c r="D15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<sst xmlns="http://schemas.openxmlformats.org/spreadsheetml/2006/main" count="1102" uniqueCount="160">
  <si>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</si>
  <si>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</si>
  <si>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</si>
  <si>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</si>
  <si>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</si>
  <si>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</si>
  <si>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</si>
  <si>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</si>
  <si>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</si>
  <si>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</si>
  <si>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</si>
  <si>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</si>
  <si>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</si>
  <si>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</si>
  <si>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</si>
  <si>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</si>
  <si>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</si>
  <si>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</si>
  <si>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</si>
  <si>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</si>
  <si>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</si>
  <si>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</si>
  <si>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</si>
  <si>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</si>
  <si>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</si>
  <si>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</si>
  <si>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</si>
  <si>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</si>
  <si>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</si>
  <si>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</si>
  <si>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</si>
  <si>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</si>
  <si>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</si>
  <si>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</si>
  <si>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</si>
  <si>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</si>
  <si>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</si>
  <si>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</si>
  <si>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</si>
  <si>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</si>
  <si>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</si>
  <si>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</si>
  <si>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</si>
  <si>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</si>
  <si>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</si>
  <si>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</si>
  <si>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</si>
  <si>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</si>
  <si>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</si>
  <si>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</si>
  <si>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</si>
  <si>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</si>
  <si>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</si>
  <si>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</si>
  <si>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</si>
  <si>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</si>
  <si>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</si>
  <si>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</si>
  <si>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</si>
  <si>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</si>
  <si>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</si>
  <si>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</si>
  <si>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</si>
  <si>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</si>
  <si>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</si>
  <si>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</si>
  <si>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</si>
  <si>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</si>
  <si>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</si>
  <si>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</si>
  <si>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</si>
  <si>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</si>
  <si>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</si>
  <si>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</si>
  <si>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</si>
  <si>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</si>
  <si>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</si>
  <si>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</si>
  <si>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</si>
  <si>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</si>
  <si>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</si>
  <si>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</si>
  <si>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</si>
  <si>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</si>
  <si>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</si>
  <si>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</si>
  <si>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</si>
  <si>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</si>
  <si>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</si>
  <si>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</si>
  <si>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</si>
  <si>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</si>
  <si>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</si>
  <si>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</si>
  <si>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</si>
  <si>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</si>
  <si>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</si>
  <si>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</si>
  <si>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</si>
  <si>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</si>
  <si>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</si>
  <si>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</si>
  <si>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</si>
  <si>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</si>
  <si>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</si>
  <si>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</si>
  <si>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</si>
  <si>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</si>
  <si>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</si>
  <si>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</si>
  <si>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</si>
  <si>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</si>
  <si>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</si>
  <si>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</si>
  <si>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</si>
  <si>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</si>
  <si>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</si>
  <si>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</si>
  <si>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</si>
  <si>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</si>
  <si>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</si>
  <si>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</si>
  <si>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</si>
  <si>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</si>
  <si>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</si>
  <si>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</si>
  <si>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</si>
  <si>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</si>
  <si>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</si>
  <si>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</si>
  <si>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</si>
  <si>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</si>
  <si>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</si>
  <si>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</si>
  <si>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</si>
  <si>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</si>
  <si>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</si>
  <si>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</si>
  <si>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</si>
  <si>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</si>
  <si>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</si>
  <si>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</si>
  <si>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</si>
  <si>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</si>
  <si>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</si>
  <si>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</si>
  <si>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</si>
  <si>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</si>
  <si>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</si>
  <si>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Routes de gestion de profile (username, password) avec formrequests</t>
  </si>
  <si>
    <t>Route de recherche de citations et films en un</t>
  </si>
  <si>
    <t>Je gérai déjà assez bien les erreurs finalement (+ que prévu) mais donc je me suis renseigné si je pouvais centralisé et normaliser à ma guise les erreurs j'ai donc utiliser ceci : https://laravel.com/docs/12.x/errors#rendering-exceptions. J'ai fais 401 404 et 500 et je verrai si nécessaire d'en faire d'autres plus tards lors des tests des erreurs etc.</t>
  </si>
  <si>
    <t>Revue du code existant niveau sécurité et c'est déjà pas mal donc pas  grand-chose à adapter, je suis déjà protégé des injections grâce à mon utilisation de laravel qui ne manipule jamais de raw en terme d'input (pas de DB::raw, whereRaw ou autre) donc rien n'est interprété comme de l'SQL executable. Je n'ai pas trouvé de failles niveau authentification/admin, les règles de droits sont respsectées à priori également. les données sensibles ne sont pas exposées à des endroits où ils ne devraient pas. J'ai ajouté de la complexité sur la validation des mots de passe (avec un min:8) j'embellirai ça si j'ai le temps plus tard</t>
  </si>
  <si>
    <t>42h 5 min</t>
  </si>
  <si>
    <t>- 47h 55 min</t>
  </si>
  <si>
    <t>J'ai fais une breve revue de mon code puis créée une collection bruno avec plusieurs call api de test (avec un stockage du token CSRF pour les requêtes via un script bruno que chatgpt m'a donné car je savais pas comment ça marche à ce niveau)</t>
  </si>
  <si>
    <t>J'enlève les handleurs d'erreur que j'avais fait lundi dans app.php temporairement car le handle de throwable faisait que des erreurs tombaient dedans et donc 0 détail, donc soit j'enlève (à voir si par défaut c'est bien ce que je souhaite) ou alors je handle vraiment toutes les erreurs mais en tout cas je verrai lors des tests de l'app)</t>
  </si>
  <si>
    <t>Visite de M Pantic pour faire le point</t>
  </si>
  <si>
    <t>Surtout prises de notes sur le backend comment ça s'est passé etc pour préparer l'écriture de la section dans le rapport.</t>
  </si>
  <si>
    <t>https://laravel.com/docs/12.x/errors#rendering-exceptions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</si>
</sst>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0" fillId="9" borderId="0" xfId="0" applyFill="1"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3" fillId="9" borderId="0" xfId="0" applyFont="1" applyFill="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9"/>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FB-45BA-9057-36A0B8F5BF27}"/>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4"/>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FB-45BA-9057-36A0B8F5BF27}"/>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23</c:v>
              </c:pt>
              <c:pt idx="10">
                <c:v>19</c:v>
              </c:pt>
              <c:pt idx="11">
                <c:v>18</c:v>
              </c:pt>
              <c:pt idx="12">
                <c:v>12</c:v>
              </c:pt>
              <c:pt idx="13">
                <c:v>0</c:v>
              </c:pt>
              <c:pt idx="14">
                <c:v>8</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15.3%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40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36.8%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19.2%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140</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drawing" Target="../drawings/drawing4.xml"/><Relationship Id="rId7" Type="http://schemas.openxmlformats.org/officeDocument/2006/relationships/control" Target="../activeX/activeX7.xml"/><Relationship Id="rId2" Type="http://schemas.openxmlformats.org/officeDocument/2006/relationships/printerSettings" Target="../printerSettings/printerSettings4.bin"/><Relationship Id="rId1" Type="http://schemas.openxmlformats.org/officeDocument/2006/relationships/hyperlink" Target="https://laravel.com/docs/12.x/errors"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6" t="s">
        <v>0</v>
      </c>
      <c r="C45" s="206"/>
      <c r="D45" s="206"/>
      <c r="E45" s="139" t="s">
        <v>117</v>
      </c>
      <c r="G45" s="207" t="s">
        <v>1</v>
      </c>
      <c r="H45" s="207"/>
      <c r="I45" s="207"/>
      <c r="J45" s="140" t="s">
        <v>153</v>
      </c>
      <c r="L45" s="208" t="s">
        <v>2</v>
      </c>
      <c r="M45" s="208"/>
      <c r="N45" s="209" t="s">
        <v>154</v>
      </c>
      <c r="O45" s="210"/>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9" zoomScale="40" zoomScaleNormal="40" zoomScaleSheetLayoutView="43" workbookViewId="0">
      <selection activeCell="C87" sqref="C15:C88"/>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76" t="s">
        <v>3</v>
      </c>
      <c r="D1" s="176"/>
      <c r="E1" s="17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77"/>
      <c r="D7" s="177"/>
      <c r="E7" s="17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174" t="str">
        <f>E96</f>
        <v>90h</v>
      </c>
      <c r="H9" s="174"/>
      <c r="I9" s="174"/>
      <c r="J9" s="174"/>
      <c r="K9" s="174"/>
      <c r="L9" s="174"/>
      <c r="M9" s="174"/>
      <c r="N9" s="174"/>
      <c r="O9" s="174"/>
      <c r="P9" s="174"/>
      <c r="Q9" s="174"/>
      <c r="R9" s="174"/>
      <c r="S9" s="174"/>
      <c r="T9" s="174"/>
      <c r="U9" s="174"/>
      <c r="V9" s="94"/>
      <c r="W9" s="175" t="s">
        <v>11</v>
      </c>
      <c r="X9" s="175"/>
      <c r="Y9" s="175"/>
      <c r="Z9" s="175"/>
      <c r="AA9" s="175"/>
      <c r="AB9" s="175"/>
      <c r="AC9" s="175"/>
      <c r="AD9" s="175"/>
      <c r="AE9" s="175"/>
      <c r="AF9" s="175"/>
      <c r="AG9" s="175"/>
      <c r="AH9" s="174" t="str">
        <f>E98</f>
        <v>44h 45 min</v>
      </c>
      <c r="AI9" s="174"/>
      <c r="AJ9" s="174"/>
      <c r="AK9" s="174"/>
      <c r="AL9" s="174"/>
      <c r="AM9" s="174"/>
      <c r="AN9" s="174"/>
      <c r="AO9" s="174"/>
      <c r="AP9" s="174"/>
      <c r="AQ9" s="174"/>
      <c r="AR9" s="174"/>
      <c r="AS9" s="174"/>
      <c r="AT9" s="174"/>
      <c r="AU9" s="174"/>
      <c r="AV9" s="174"/>
      <c r="AW9" s="17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75"/>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173"/>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c r="HC10" s="173"/>
      <c r="HD10" s="173"/>
      <c r="HE10" s="173"/>
      <c r="HF10" s="173"/>
      <c r="HG10" s="173"/>
      <c r="HH10" s="173"/>
      <c r="HI10" s="173"/>
      <c r="HJ10" s="173"/>
      <c r="HK10" s="173"/>
      <c r="HL10" s="173"/>
      <c r="HM10" s="173"/>
      <c r="HN10" s="173"/>
      <c r="HO10" s="173"/>
      <c r="HP10" s="173"/>
      <c r="HQ10" s="173"/>
      <c r="HR10" s="173"/>
      <c r="HS10" s="173"/>
      <c r="HT10" s="173"/>
      <c r="HU10" s="173"/>
      <c r="HV10" s="173"/>
      <c r="HW10" s="173"/>
      <c r="HX10" s="173"/>
      <c r="HY10" s="173"/>
      <c r="HZ10" s="173"/>
      <c r="IA10" s="173"/>
      <c r="IB10" s="173"/>
      <c r="IC10" s="173"/>
      <c r="ID10" s="173"/>
      <c r="IE10" s="173"/>
      <c r="IF10" s="173"/>
      <c r="IG10" s="173"/>
      <c r="IH10" s="173"/>
      <c r="II10" s="173"/>
      <c r="IJ10" s="173"/>
      <c r="IK10" s="173"/>
      <c r="IL10" s="173"/>
      <c r="IM10" s="173"/>
      <c r="IN10" s="173"/>
      <c r="IO10" s="173"/>
      <c r="IP10" s="173"/>
      <c r="IQ10" s="173"/>
      <c r="IR10" s="173"/>
      <c r="IS10" s="173"/>
      <c r="IT10" s="173"/>
      <c r="IU10" s="173"/>
      <c r="IV10" s="173"/>
      <c r="IW10" s="173"/>
      <c r="IX10" s="173"/>
      <c r="IY10" s="173"/>
      <c r="IZ10" s="173"/>
      <c r="JA10" s="173"/>
      <c r="JB10" s="173"/>
      <c r="JC10" s="173"/>
      <c r="JD10" s="173"/>
      <c r="JE10" s="173"/>
      <c r="JF10" s="173"/>
      <c r="JG10" s="173"/>
      <c r="JH10" s="173"/>
      <c r="JI10" s="173"/>
      <c r="JJ10" s="173"/>
      <c r="JK10" s="173"/>
      <c r="JL10" s="173"/>
      <c r="JM10" s="173"/>
      <c r="JN10" s="173"/>
      <c r="JO10" s="173"/>
      <c r="JP10" s="173"/>
      <c r="JQ10" s="173"/>
      <c r="JR10" s="173"/>
      <c r="JS10" s="173"/>
      <c r="JT10" s="173"/>
      <c r="JU10" s="173"/>
      <c r="JV10" s="173"/>
      <c r="JW10" s="173"/>
      <c r="JX10" s="173"/>
      <c r="JY10" s="173"/>
      <c r="JZ10" s="173"/>
      <c r="KA10" s="173"/>
      <c r="KB10" s="173"/>
      <c r="KC10" s="173"/>
      <c r="KD10" s="173"/>
      <c r="KE10" s="173"/>
      <c r="KF10" s="173"/>
      <c r="KG10" s="173"/>
      <c r="KH10" s="173"/>
      <c r="KI10" s="173"/>
      <c r="KJ10" s="173"/>
      <c r="KK10" s="173"/>
      <c r="KL10" s="173"/>
      <c r="KM10" s="173"/>
      <c r="KN10" s="173"/>
      <c r="KO10" s="173"/>
      <c r="KP10" s="173"/>
      <c r="KQ10" s="173"/>
      <c r="KR10" s="173"/>
      <c r="KS10" s="173"/>
      <c r="KT10" s="173"/>
      <c r="KU10" s="173"/>
      <c r="KV10" s="173"/>
      <c r="KW10" s="173"/>
      <c r="KX10" s="173"/>
      <c r="KY10" s="173"/>
      <c r="KZ10" s="173"/>
      <c r="LA10" s="173"/>
      <c r="LB10" s="173"/>
      <c r="LC10" s="173"/>
      <c r="LD10" s="173"/>
      <c r="LE10" s="173"/>
      <c r="LF10" s="173"/>
      <c r="LG10" s="173"/>
      <c r="LH10" s="173"/>
      <c r="LI10" s="173"/>
      <c r="LJ10" s="173"/>
      <c r="LK10" s="173"/>
      <c r="LL10" s="173"/>
      <c r="LM10" s="173"/>
      <c r="LN10" s="173"/>
      <c r="LO10" s="173"/>
      <c r="LP10" s="173"/>
      <c r="LQ10" s="173"/>
      <c r="LR10" s="173"/>
      <c r="LS10" s="173"/>
      <c r="LT10" s="173"/>
      <c r="LU10" s="173"/>
      <c r="LV10" s="173"/>
      <c r="LW10" s="173"/>
      <c r="LX10" s="173"/>
      <c r="LY10" s="173"/>
      <c r="LZ10" s="173"/>
      <c r="MA10" s="173"/>
      <c r="MB10" s="173"/>
      <c r="MC10" s="173"/>
      <c r="MD10" s="173"/>
      <c r="ME10" s="173"/>
      <c r="MF10" s="173"/>
      <c r="MG10" s="173"/>
      <c r="MH10" s="173"/>
      <c r="MI10" s="173"/>
      <c r="MJ10" s="173"/>
      <c r="MK10" s="173"/>
      <c r="ML10" s="173"/>
      <c r="MM10" s="173"/>
      <c r="MN10" s="173"/>
      <c r="MO10" s="173"/>
      <c r="MP10" s="173"/>
      <c r="MQ10" s="173"/>
      <c r="MR10" s="173"/>
      <c r="MS10" s="173"/>
      <c r="MT10" s="173"/>
      <c r="MU10" s="173"/>
      <c r="MV10" s="173"/>
      <c r="MW10" s="173"/>
      <c r="MX10" s="173"/>
      <c r="MY10" s="173"/>
      <c r="MZ10" s="173"/>
      <c r="NA10" s="173"/>
      <c r="NB10" s="173"/>
      <c r="NC10" s="173"/>
      <c r="ND10" s="173"/>
      <c r="NE10" s="173"/>
      <c r="NF10" s="173"/>
      <c r="NG10" s="173"/>
      <c r="NH10" s="173"/>
      <c r="NI10" s="173"/>
      <c r="NJ10" s="173"/>
      <c r="NK10" s="173"/>
      <c r="NL10" s="173"/>
      <c r="NM10" s="173"/>
      <c r="NN10" s="173"/>
      <c r="NO10" s="173"/>
      <c r="NP10" s="173"/>
      <c r="NQ10" s="173"/>
      <c r="NR10" s="173"/>
      <c r="NS10" s="173"/>
      <c r="NT10" s="173"/>
      <c r="NU10" s="173"/>
      <c r="NV10" s="173"/>
      <c r="NW10" s="173"/>
      <c r="NX10" s="173"/>
      <c r="NY10" s="173"/>
      <c r="NZ10" s="173"/>
      <c r="OA10" s="173"/>
      <c r="OB10" s="173"/>
      <c r="OC10" s="173"/>
      <c r="OD10" s="173"/>
      <c r="OE10" s="173"/>
      <c r="OF10" s="173"/>
      <c r="OG10" s="173"/>
      <c r="OH10" s="173"/>
      <c r="OI10" s="173"/>
      <c r="OJ10" s="173"/>
      <c r="OK10" s="173"/>
      <c r="OL10" s="173"/>
      <c r="OM10" s="173"/>
      <c r="ON10" s="173"/>
      <c r="OO10" s="173"/>
      <c r="OP10" s="173"/>
      <c r="OQ10" s="173"/>
      <c r="OR10" s="173"/>
      <c r="OS10" s="173"/>
      <c r="OT10" s="173"/>
      <c r="OU10" s="173"/>
      <c r="OV10" s="173"/>
      <c r="OW10" s="173"/>
      <c r="OX10" s="173"/>
      <c r="OY10" s="173"/>
      <c r="OZ10" s="173"/>
      <c r="PA10" s="173"/>
      <c r="PB10" s="173"/>
      <c r="PC10" s="173"/>
      <c r="PD10" s="173"/>
      <c r="PE10" s="173"/>
      <c r="PF10" s="173"/>
      <c r="PG10" s="173"/>
      <c r="PH10" s="173"/>
      <c r="PI10" s="173"/>
      <c r="PJ10" s="173"/>
      <c r="PK10" s="173"/>
      <c r="PL10" s="173"/>
      <c r="PM10" s="173"/>
      <c r="PN10" s="173"/>
      <c r="PO10" s="173"/>
      <c r="PP10" s="173"/>
      <c r="PQ10" s="173"/>
      <c r="PR10" s="173"/>
      <c r="PS10" s="173"/>
      <c r="PT10" s="173"/>
      <c r="PU10" s="173"/>
      <c r="PV10" s="173"/>
      <c r="PW10" s="173"/>
      <c r="PX10" s="173"/>
      <c r="PY10" s="173"/>
      <c r="PZ10" s="173"/>
      <c r="QA10" s="173"/>
      <c r="QB10" s="173"/>
      <c r="QC10" s="173"/>
      <c r="QD10" s="173"/>
      <c r="QE10" s="173"/>
      <c r="QF10" s="173"/>
      <c r="QG10" s="173"/>
      <c r="QH10" s="173"/>
      <c r="QI10" s="173"/>
      <c r="QJ10" s="173"/>
      <c r="QK10" s="173"/>
      <c r="QL10" s="173"/>
      <c r="QM10" s="173"/>
      <c r="QN10" s="173"/>
      <c r="QO10" s="173"/>
      <c r="QP10" s="173"/>
      <c r="QQ10" s="173"/>
      <c r="QR10" s="173"/>
      <c r="QS10" s="173"/>
      <c r="QT10" s="173"/>
      <c r="QU10" s="173"/>
      <c r="QV10" s="173"/>
      <c r="QW10" s="173"/>
      <c r="QX10" s="173"/>
      <c r="QY10" s="173"/>
      <c r="QZ10" s="173"/>
      <c r="RA10" s="173"/>
      <c r="RB10" s="173"/>
      <c r="RC10" s="173"/>
      <c r="RD10" s="173"/>
      <c r="RE10" s="173"/>
      <c r="RF10" s="173"/>
      <c r="RG10" s="173"/>
      <c r="RH10" s="173"/>
      <c r="RI10" s="173"/>
      <c r="RJ10" s="173"/>
      <c r="RK10" s="173"/>
      <c r="RL10" s="173"/>
      <c r="RM10" s="173"/>
      <c r="RN10" s="173"/>
      <c r="RO10" s="173"/>
      <c r="RP10" s="173"/>
      <c r="RQ10" s="173"/>
      <c r="RR10" s="173"/>
      <c r="RS10" s="173"/>
      <c r="RT10" s="173"/>
      <c r="RU10" s="173"/>
      <c r="RV10" s="173"/>
      <c r="RW10" s="173"/>
      <c r="RX10" s="173"/>
      <c r="RY10" s="173"/>
      <c r="RZ10" s="173"/>
      <c r="SA10" s="173"/>
      <c r="SB10" s="173"/>
      <c r="SC10" s="173"/>
      <c r="SD10" s="173"/>
      <c r="SE10" s="173"/>
      <c r="SF10" s="173"/>
      <c r="SG10" s="173"/>
      <c r="SH10" s="173"/>
      <c r="SI10" s="173"/>
      <c r="SJ10" s="173"/>
      <c r="SK10" s="173"/>
      <c r="SL10" s="173"/>
      <c r="SM10" s="173"/>
      <c r="SN10" s="173"/>
      <c r="SO10" s="173"/>
      <c r="SP10" s="173"/>
      <c r="SQ10" s="173"/>
      <c r="SR10" s="173"/>
      <c r="SS10" s="173"/>
      <c r="ST10" s="173"/>
      <c r="SU10" s="173"/>
      <c r="SV10" s="173"/>
      <c r="SW10" s="173"/>
      <c r="SX10" s="173"/>
      <c r="SY10" s="173"/>
      <c r="SZ10" s="173"/>
      <c r="TA10" s="173"/>
      <c r="TB10" s="173"/>
      <c r="TC10" s="173"/>
      <c r="TD10" s="173"/>
      <c r="TE10" s="173"/>
      <c r="TF10" s="173"/>
      <c r="TG10" s="173"/>
      <c r="TH10" s="173"/>
      <c r="TI10" s="173"/>
      <c r="TJ10" s="173"/>
      <c r="TK10" s="173"/>
      <c r="TL10" s="173"/>
      <c r="TM10" s="173"/>
      <c r="TN10" s="173"/>
      <c r="TO10" s="173"/>
      <c r="TP10" s="173"/>
      <c r="TQ10" s="173"/>
      <c r="TR10" s="173"/>
      <c r="TS10" s="173"/>
      <c r="TT10" s="173"/>
      <c r="TU10" s="173"/>
      <c r="TV10" s="173"/>
      <c r="TW10" s="173"/>
      <c r="TX10" s="173"/>
      <c r="TY10" s="173"/>
      <c r="TZ10" s="173"/>
      <c r="UA10" s="173"/>
      <c r="UB10" s="173"/>
      <c r="UC10" s="173"/>
      <c r="UD10" s="173"/>
      <c r="UE10" s="173"/>
      <c r="UF10" s="173"/>
      <c r="UG10" s="173"/>
      <c r="UH10" s="173"/>
      <c r="UI10" s="173"/>
      <c r="UJ10" s="173"/>
      <c r="UK10" s="173"/>
      <c r="UL10" s="173"/>
      <c r="UM10" s="173"/>
      <c r="UN10" s="173"/>
      <c r="UO10" s="173"/>
      <c r="UP10" s="173"/>
      <c r="UQ10" s="173"/>
      <c r="UR10" s="173"/>
      <c r="US10" s="173"/>
      <c r="UT10" s="173"/>
      <c r="UU10" s="173"/>
      <c r="UV10" s="173"/>
      <c r="UW10" s="173"/>
      <c r="UX10" s="173"/>
      <c r="UY10" s="173"/>
      <c r="UZ10" s="173"/>
      <c r="VA10" s="173"/>
      <c r="VB10" s="173"/>
      <c r="VC10" s="173"/>
      <c r="VD10" s="173"/>
      <c r="VE10" s="173"/>
      <c r="VF10" s="173"/>
      <c r="VG10" s="173"/>
      <c r="VH10" s="173"/>
      <c r="VI10" s="173"/>
      <c r="VJ10" s="173"/>
      <c r="VK10" s="173"/>
      <c r="VL10" s="173"/>
      <c r="VM10" s="173"/>
      <c r="VN10" s="173"/>
      <c r="VO10" s="173"/>
      <c r="VP10" s="173"/>
      <c r="VQ10" s="173"/>
      <c r="VR10" s="173"/>
      <c r="VS10" s="173"/>
      <c r="VT10" s="173"/>
      <c r="VU10" s="173"/>
      <c r="VV10" s="173"/>
      <c r="VW10" s="173"/>
      <c r="VX10" s="173"/>
      <c r="VY10" s="173"/>
      <c r="VZ10" s="173"/>
      <c r="WA10" s="173"/>
      <c r="WB10" s="173"/>
      <c r="WC10" s="173"/>
      <c r="WD10" s="173"/>
      <c r="WE10" s="173"/>
      <c r="WF10" s="173"/>
      <c r="WG10" s="173"/>
      <c r="WH10" s="173"/>
      <c r="WI10" s="173"/>
      <c r="WJ10" s="173"/>
      <c r="WK10" s="173"/>
      <c r="WL10" s="173"/>
      <c r="WM10" s="173"/>
      <c r="WN10" s="173"/>
      <c r="WO10" s="173"/>
      <c r="WP10" s="173"/>
      <c r="WQ10" s="173"/>
      <c r="WR10" s="173"/>
      <c r="WS10" s="173"/>
      <c r="WT10" s="173"/>
      <c r="WU10" s="173"/>
      <c r="WV10" s="173"/>
      <c r="WW10" s="173"/>
      <c r="WX10" s="173"/>
      <c r="WY10" s="173"/>
      <c r="WZ10" s="173"/>
      <c r="XA10" s="173"/>
      <c r="XB10" s="173"/>
      <c r="XC10" s="173"/>
      <c r="XD10" s="173"/>
      <c r="XE10" s="173"/>
      <c r="XF10" s="173"/>
      <c r="XG10" s="173"/>
      <c r="XH10" s="173"/>
      <c r="XI10" s="173"/>
      <c r="XJ10" s="173"/>
      <c r="XK10" s="173"/>
      <c r="XL10" s="173"/>
      <c r="XM10" s="173"/>
      <c r="XN10" s="173"/>
      <c r="XO10" s="173"/>
      <c r="XP10" s="173"/>
      <c r="XQ10" s="173"/>
      <c r="XR10" s="173"/>
      <c r="XS10" s="173"/>
      <c r="XT10" s="173"/>
      <c r="XU10" s="173"/>
      <c r="XV10" s="173"/>
      <c r="XW10" s="173"/>
      <c r="XX10" s="173"/>
      <c r="XY10" s="173"/>
      <c r="XZ10" s="173"/>
      <c r="YA10" s="173"/>
      <c r="YB10" s="173"/>
      <c r="YC10" s="173"/>
      <c r="YD10" s="173"/>
      <c r="YE10" s="173"/>
      <c r="YF10" s="173"/>
      <c r="YG10" s="173"/>
      <c r="YH10" s="173"/>
      <c r="YI10" s="173"/>
      <c r="YJ10" s="173"/>
      <c r="YK10" s="173"/>
      <c r="YL10" s="173"/>
      <c r="YM10" s="173"/>
      <c r="YN10" s="173"/>
      <c r="YO10" s="173"/>
      <c r="YP10" s="173"/>
      <c r="YQ10" s="173"/>
      <c r="YR10" s="173"/>
      <c r="YS10" s="173"/>
      <c r="YT10" s="173"/>
      <c r="YU10" s="173"/>
      <c r="YV10" s="173"/>
      <c r="YW10" s="173"/>
      <c r="YX10" s="173"/>
      <c r="YY10" s="173"/>
      <c r="YZ10" s="173"/>
      <c r="ZA10" s="173"/>
      <c r="ZB10" s="173"/>
      <c r="ZC10" s="173"/>
      <c r="ZD10" s="173"/>
      <c r="ZE10" s="173"/>
      <c r="ZF10" s="173"/>
      <c r="ZG10" s="173"/>
      <c r="ZH10" s="173"/>
      <c r="ZI10" s="173"/>
      <c r="ZJ10" s="173"/>
      <c r="ZK10" s="173"/>
      <c r="ZL10" s="173"/>
      <c r="ZM10" s="173"/>
      <c r="ZN10" s="173"/>
      <c r="ZO10" s="173"/>
      <c r="ZP10" s="173"/>
      <c r="ZQ10" s="173"/>
      <c r="ZR10" s="173"/>
      <c r="ZS10" s="173"/>
      <c r="ZT10" s="173"/>
      <c r="ZU10" s="173"/>
      <c r="ZV10" s="173"/>
      <c r="ZW10" s="173"/>
      <c r="ZX10" s="173"/>
      <c r="ZY10" s="173"/>
      <c r="ZZ10" s="173"/>
      <c r="AAA10" s="173"/>
      <c r="AAB10" s="173"/>
      <c r="AAC10" s="173"/>
      <c r="AAD10" s="173"/>
      <c r="AAE10" s="173"/>
      <c r="AAF10" s="173"/>
      <c r="AAG10" s="173"/>
      <c r="AAH10" s="173"/>
      <c r="AAI10" s="173"/>
      <c r="AAJ10" s="173"/>
      <c r="AAK10" s="173"/>
      <c r="AAL10" s="173"/>
      <c r="AAM10" s="173"/>
      <c r="AAN10" s="173"/>
      <c r="AAO10" s="173"/>
      <c r="AAP10" s="173"/>
      <c r="AAQ10" s="173"/>
      <c r="AAR10" s="173"/>
      <c r="AAS10" s="173"/>
      <c r="AAT10" s="173"/>
      <c r="AAU10" s="173"/>
      <c r="AAV10" s="173"/>
      <c r="AAW10" s="173"/>
      <c r="AAX10" s="173"/>
      <c r="AAY10" s="173"/>
      <c r="AAZ10" s="173"/>
      <c r="ABA10" s="173"/>
      <c r="ABB10" s="173"/>
      <c r="ABC10" s="173"/>
      <c r="ABD10" s="173"/>
      <c r="ABE10" s="173"/>
      <c r="ABF10" s="173"/>
      <c r="ABG10" s="173"/>
      <c r="ABH10" s="173"/>
      <c r="ABI10" s="173"/>
      <c r="ABJ10" s="173"/>
      <c r="ABK10" s="173"/>
      <c r="ABL10" s="173"/>
      <c r="ABM10" s="173"/>
      <c r="ABN10" s="173"/>
      <c r="ABO10" s="173"/>
      <c r="ABP10" s="173"/>
      <c r="ABQ10" s="173"/>
      <c r="ABR10" s="173"/>
      <c r="ABS10" s="173"/>
      <c r="ABT10" s="173"/>
      <c r="ABU10" s="173"/>
      <c r="ABV10" s="173"/>
      <c r="ABW10" s="173"/>
      <c r="ABX10" s="173"/>
      <c r="ABY10" s="173"/>
      <c r="ABZ10" s="173"/>
      <c r="ACA10" s="173"/>
      <c r="ACB10" s="173"/>
      <c r="ACC10" s="173"/>
      <c r="ACD10" s="173"/>
      <c r="ACE10" s="173"/>
      <c r="ACF10" s="173"/>
      <c r="ACG10" s="173"/>
      <c r="ACH10" s="173"/>
      <c r="ACI10" s="173"/>
      <c r="ACJ10" s="173"/>
      <c r="ACK10" s="173"/>
      <c r="ACL10" s="173"/>
      <c r="ACM10" s="173"/>
      <c r="ACN10" s="173"/>
      <c r="ACO10" s="173"/>
      <c r="ACP10" s="173"/>
      <c r="ACQ10" s="173"/>
      <c r="ACR10" s="173"/>
      <c r="ACS10" s="173"/>
      <c r="ACT10" s="173"/>
      <c r="ACU10" s="173"/>
      <c r="ACV10" s="173"/>
      <c r="ACW10" s="173"/>
      <c r="ACX10" s="173"/>
      <c r="ACY10" s="173"/>
      <c r="ACZ10" s="173"/>
      <c r="ADA10" s="173"/>
      <c r="ADB10" s="173"/>
      <c r="ADC10" s="173"/>
      <c r="ADD10" s="173"/>
      <c r="ADE10" s="173"/>
      <c r="ADF10" s="173"/>
      <c r="ADG10" s="173"/>
      <c r="ADH10" s="173"/>
      <c r="ADI10" s="173"/>
      <c r="ADJ10" s="173"/>
      <c r="ADK10" s="173"/>
      <c r="ADL10" s="173"/>
      <c r="ADM10" s="173"/>
      <c r="ADN10" s="173"/>
      <c r="ADO10" s="173"/>
      <c r="ADP10" s="173"/>
      <c r="ADQ10" s="173"/>
      <c r="ADR10" s="173"/>
      <c r="ADS10" s="173"/>
      <c r="ADT10" s="173"/>
      <c r="ADU10" s="173"/>
      <c r="ADV10" s="173"/>
      <c r="ADW10" s="173"/>
      <c r="ADX10" s="173"/>
      <c r="ADY10" s="173"/>
      <c r="ADZ10" s="173"/>
      <c r="AEA10" s="173"/>
      <c r="AEB10" s="173"/>
      <c r="AEC10" s="173"/>
      <c r="AED10" s="173"/>
      <c r="AEE10" s="173"/>
      <c r="AEF10" s="173"/>
      <c r="AEG10" s="173"/>
      <c r="AEH10" s="173"/>
      <c r="AEI10" s="173"/>
      <c r="AEJ10" s="173"/>
      <c r="AEK10" s="173"/>
      <c r="AEL10" s="173"/>
      <c r="AEM10" s="173"/>
      <c r="AEN10" s="173"/>
      <c r="AEO10" s="173"/>
      <c r="AEP10" s="173"/>
      <c r="AEQ10" s="173"/>
      <c r="AER10" s="173"/>
      <c r="AES10" s="173"/>
      <c r="AET10" s="173"/>
      <c r="AEU10" s="173"/>
      <c r="AEV10" s="173"/>
      <c r="AEW10" s="173"/>
      <c r="AEX10" s="173"/>
      <c r="AEY10" s="173"/>
      <c r="AEZ10" s="173"/>
      <c r="AFA10" s="173"/>
      <c r="AFB10" s="173"/>
      <c r="AFC10" s="173"/>
      <c r="AFD10" s="173"/>
      <c r="AFE10" s="173"/>
      <c r="AFF10" s="173"/>
      <c r="AFG10" s="173"/>
      <c r="AFH10" s="173"/>
      <c r="AFI10" s="173"/>
      <c r="AFJ10" s="173"/>
      <c r="AFK10" s="173"/>
      <c r="AFL10" s="173"/>
      <c r="AFM10" s="173"/>
      <c r="AFN10" s="173"/>
      <c r="AFO10" s="173"/>
      <c r="AFP10" s="173"/>
      <c r="AFQ10" s="173"/>
      <c r="AFR10" s="173"/>
      <c r="AFS10" s="173"/>
      <c r="AFT10" s="173"/>
      <c r="AFU10" s="173"/>
      <c r="AFV10" s="173"/>
      <c r="AFW10" s="173"/>
      <c r="AFX10" s="173"/>
      <c r="AFY10" s="173"/>
      <c r="AFZ10" s="173"/>
      <c r="AGA10" s="173"/>
      <c r="AGB10" s="173"/>
      <c r="AGC10" s="173"/>
      <c r="AGD10" s="173"/>
      <c r="AGE10" s="173"/>
      <c r="AGF10" s="173"/>
      <c r="AGG10" s="173"/>
      <c r="AGH10" s="173"/>
      <c r="AGI10" s="173"/>
      <c r="AGJ10" s="173"/>
      <c r="AGK10" s="173"/>
      <c r="AGL10" s="173"/>
      <c r="AGM10" s="173"/>
      <c r="AGN10" s="173"/>
      <c r="AGO10" s="173"/>
      <c r="AGP10" s="173"/>
      <c r="AGQ10" s="173"/>
      <c r="AGR10" s="173"/>
      <c r="AGS10" s="173"/>
      <c r="AGT10" s="173"/>
      <c r="AGU10" s="173"/>
      <c r="AGV10" s="173"/>
      <c r="AGW10" s="173"/>
      <c r="AGX10" s="173"/>
      <c r="AGY10" s="173"/>
      <c r="AGZ10" s="173"/>
      <c r="AHA10" s="173"/>
      <c r="AHB10" s="173"/>
      <c r="AHC10" s="173"/>
      <c r="AHD10" s="173"/>
      <c r="AHE10" s="173"/>
      <c r="AHF10" s="173"/>
      <c r="AHG10" s="173"/>
      <c r="AHH10" s="173"/>
      <c r="AHI10" s="173"/>
      <c r="AHJ10" s="173"/>
      <c r="AHK10" s="173"/>
      <c r="AHL10" s="173"/>
      <c r="AHM10" s="173"/>
      <c r="AHN10" s="173"/>
      <c r="AHO10" s="173"/>
      <c r="AHP10" s="173"/>
      <c r="AHQ10" s="173"/>
      <c r="AHR10" s="173"/>
      <c r="AHS10" s="173"/>
      <c r="AHT10" s="173"/>
      <c r="AHU10" s="173"/>
      <c r="AHV10" s="173"/>
      <c r="AHW10" s="173"/>
      <c r="AHX10" s="173"/>
      <c r="AHY10" s="173"/>
      <c r="AHZ10" s="173"/>
      <c r="AIA10" s="173"/>
      <c r="AIB10" s="173"/>
      <c r="AIC10" s="173"/>
      <c r="AID10" s="173"/>
      <c r="AIE10" s="173"/>
      <c r="AIF10" s="173"/>
      <c r="AIG10" s="173"/>
      <c r="AIH10" s="173"/>
      <c r="AII10" s="173"/>
      <c r="AIJ10" s="173"/>
      <c r="AIK10" s="173"/>
      <c r="AIL10" s="173"/>
      <c r="AIM10" s="173"/>
      <c r="AIN10" s="173"/>
      <c r="AIO10" s="173"/>
      <c r="AIP10" s="173"/>
      <c r="AIQ10" s="173"/>
      <c r="AIR10" s="173"/>
      <c r="AIS10" s="173"/>
      <c r="AIT10" s="173"/>
      <c r="AIU10" s="173"/>
      <c r="AIV10" s="173"/>
      <c r="AIW10" s="173"/>
      <c r="AIX10" s="173"/>
      <c r="AIY10" s="173"/>
      <c r="AIZ10" s="173"/>
      <c r="AJA10" s="173"/>
      <c r="AJB10" s="173"/>
      <c r="AJC10" s="173"/>
      <c r="AJD10" s="173"/>
      <c r="AJE10" s="173"/>
      <c r="AJF10" s="173"/>
      <c r="AJG10" s="173"/>
      <c r="AJH10" s="173"/>
      <c r="AJI10" s="173"/>
      <c r="AJJ10" s="173"/>
      <c r="AJK10" s="173"/>
      <c r="AJL10" s="173"/>
      <c r="AJM10" s="173"/>
      <c r="AJN10" s="173"/>
      <c r="AJO10" s="173"/>
      <c r="AJP10" s="173"/>
      <c r="AJQ10" s="173"/>
      <c r="AJR10" s="173"/>
      <c r="AJS10" s="173"/>
      <c r="AJT10" s="173"/>
      <c r="AJU10" s="173"/>
      <c r="AJV10" s="173"/>
      <c r="AJW10" s="173"/>
      <c r="AJX10" s="173"/>
      <c r="AJY10" s="173"/>
      <c r="AJZ10" s="173"/>
      <c r="AKA10" s="173"/>
      <c r="AKB10" s="173"/>
      <c r="AKC10" s="173"/>
      <c r="AKD10" s="173"/>
      <c r="AKE10" s="173"/>
      <c r="AKF10" s="173"/>
      <c r="AKG10" s="173"/>
      <c r="AKH10" s="173"/>
      <c r="AKI10" s="173"/>
      <c r="AKJ10" s="173"/>
      <c r="AKK10" s="173"/>
      <c r="AKL10" s="173"/>
      <c r="AKM10" s="173"/>
      <c r="AKN10" s="173"/>
      <c r="AKO10" s="173"/>
      <c r="AKP10" s="173"/>
      <c r="AKQ10" s="173"/>
      <c r="AKR10" s="173"/>
      <c r="AKS10" s="173"/>
      <c r="AKT10" s="173"/>
      <c r="AKU10" s="173"/>
      <c r="AKV10" s="173"/>
      <c r="AKW10" s="173"/>
      <c r="AKX10" s="173"/>
      <c r="AKY10" s="173"/>
      <c r="AKZ10" s="173"/>
      <c r="ALA10" s="173"/>
      <c r="ALB10" s="173"/>
      <c r="ALC10" s="173"/>
      <c r="ALD10" s="173"/>
      <c r="ALE10" s="173"/>
      <c r="ALF10" s="173"/>
      <c r="ALG10" s="173"/>
      <c r="ALH10" s="173"/>
      <c r="ALI10" s="173"/>
      <c r="ALJ10" s="173"/>
      <c r="ALK10" s="173"/>
      <c r="ALL10" s="173"/>
      <c r="ALM10" s="173"/>
      <c r="ALN10" s="173"/>
      <c r="ALO10" s="173"/>
      <c r="ALP10" s="173"/>
      <c r="ALQ10" s="173"/>
      <c r="ALR10" s="173"/>
      <c r="ALS10" s="173"/>
      <c r="ALT10" s="173"/>
      <c r="ALU10" s="173"/>
      <c r="ALV10" s="173"/>
      <c r="ALW10" s="173"/>
      <c r="ALX10" s="173"/>
      <c r="ALY10" s="173"/>
      <c r="ALZ10" s="173"/>
      <c r="AMA10" s="173"/>
      <c r="AMB10" s="173"/>
      <c r="AMC10" s="173"/>
      <c r="AMD10" s="173"/>
      <c r="AME10" s="173"/>
      <c r="AMF10" s="173"/>
      <c r="AMG10" s="173"/>
      <c r="AMH10" s="173"/>
      <c r="AMI10" s="173"/>
      <c r="AMJ10" s="173"/>
      <c r="AMK10" s="173"/>
      <c r="AML10" s="173"/>
      <c r="AMM10" s="173"/>
      <c r="AMN10" s="173"/>
      <c r="AMO10" s="173"/>
      <c r="AMP10" s="173"/>
      <c r="AMQ10" s="173"/>
      <c r="AMR10" s="173"/>
      <c r="AMS10" s="173"/>
      <c r="AMT10" s="173"/>
      <c r="AMU10" s="173"/>
      <c r="AMV10" s="173"/>
      <c r="AMW10" s="173"/>
      <c r="AMX10" s="173"/>
      <c r="AMY10" s="173"/>
      <c r="AMZ10" s="173"/>
      <c r="ANA10" s="173"/>
      <c r="ANB10" s="173"/>
      <c r="ANC10" s="173"/>
      <c r="AND10" s="173"/>
      <c r="ANE10" s="173"/>
      <c r="ANF10" s="173"/>
      <c r="ANG10" s="173"/>
      <c r="ANH10" s="173"/>
      <c r="ANI10" s="173"/>
      <c r="ANJ10" s="173"/>
      <c r="ANK10" s="173"/>
      <c r="ANL10" s="173"/>
      <c r="ANM10" s="173"/>
      <c r="ANN10" s="173"/>
      <c r="ANO10" s="173"/>
      <c r="ANP10" s="173"/>
      <c r="ANQ10" s="173"/>
      <c r="ANR10" s="173"/>
      <c r="ANS10" s="173"/>
      <c r="ANT10" s="173"/>
      <c r="ANU10" s="173"/>
      <c r="ANV10" s="173"/>
      <c r="ANW10" s="173"/>
      <c r="ANX10" s="173"/>
      <c r="ANY10" s="173"/>
      <c r="ANZ10" s="173"/>
      <c r="AOA10" s="173"/>
      <c r="AOB10" s="173"/>
      <c r="AOC10" s="173"/>
      <c r="AOD10" s="173"/>
      <c r="AOE10" s="173"/>
      <c r="AOF10" s="173"/>
      <c r="AOG10" s="173"/>
      <c r="AOH10" s="173"/>
      <c r="AOI10" s="173"/>
      <c r="AOJ10" s="173"/>
      <c r="AOK10" s="173"/>
      <c r="AOL10" s="173"/>
      <c r="AOM10" s="173"/>
      <c r="AON10" s="173"/>
      <c r="AOO10" s="173"/>
      <c r="AOP10" s="173"/>
      <c r="AOQ10" s="173"/>
      <c r="AOR10" s="173"/>
      <c r="AOS10" s="173"/>
      <c r="AOT10" s="173"/>
      <c r="AOU10" s="173"/>
      <c r="AOV10" s="173"/>
      <c r="AOW10" s="173"/>
      <c r="AOX10" s="173"/>
      <c r="AOY10" s="173"/>
      <c r="AOZ10" s="173"/>
      <c r="APA10" s="173"/>
      <c r="APB10" s="173"/>
      <c r="APC10" s="173"/>
      <c r="APD10" s="173"/>
      <c r="APE10" s="173"/>
      <c r="APF10" s="173"/>
      <c r="APG10" s="173"/>
      <c r="APH10" s="173"/>
      <c r="API10" s="173"/>
      <c r="APJ10" s="173"/>
      <c r="APK10" s="173"/>
      <c r="APL10" s="173"/>
      <c r="APM10" s="173"/>
      <c r="APN10" s="173"/>
      <c r="APO10" s="173"/>
      <c r="APP10" s="173"/>
      <c r="APQ10" s="173"/>
      <c r="APR10" s="173"/>
      <c r="APS10" s="173"/>
      <c r="APT10" s="173"/>
      <c r="APU10" s="173"/>
      <c r="APV10" s="173"/>
      <c r="APW10" s="173"/>
      <c r="APX10" s="173"/>
      <c r="APY10" s="173"/>
      <c r="APZ10" s="173"/>
      <c r="AQA10" s="173"/>
      <c r="AQB10" s="173"/>
      <c r="AQC10" s="173"/>
      <c r="AQD10" s="173"/>
      <c r="AQE10" s="173"/>
      <c r="AQF10" s="173"/>
      <c r="AQG10" s="173"/>
      <c r="AQH10" s="173"/>
      <c r="AQI10" s="173"/>
      <c r="AQJ10" s="173"/>
      <c r="AQK10" s="173"/>
      <c r="AQL10" s="173"/>
      <c r="AQM10" s="173"/>
      <c r="AQN10" s="173"/>
      <c r="AQO10" s="173"/>
      <c r="AQP10" s="173"/>
      <c r="AQQ10" s="173"/>
      <c r="AQR10" s="173"/>
      <c r="AQS10" s="173"/>
      <c r="AQT10" s="173"/>
      <c r="AQU10" s="173"/>
      <c r="AQV10" s="173"/>
      <c r="AQW10" s="173"/>
      <c r="AQX10" s="173"/>
      <c r="AQY10" s="173"/>
      <c r="AQZ10" s="173"/>
      <c r="ARA10" s="173"/>
      <c r="ARB10" s="173"/>
      <c r="ARC10" s="173"/>
      <c r="ARD10" s="173"/>
      <c r="ARE10" s="173"/>
      <c r="ARF10" s="173"/>
      <c r="ARG10" s="173"/>
      <c r="ARH10" s="173"/>
      <c r="ARI10" s="173"/>
      <c r="ARJ10" s="173"/>
      <c r="ARK10" s="173"/>
      <c r="ARL10" s="173"/>
      <c r="ARM10" s="173"/>
      <c r="ARN10" s="173"/>
      <c r="ARO10" s="173"/>
      <c r="ARP10" s="173"/>
      <c r="ARQ10" s="173"/>
      <c r="ARR10" s="173"/>
      <c r="ARS10" s="173"/>
      <c r="ART10" s="173"/>
      <c r="ARU10" s="173"/>
      <c r="ARV10" s="173"/>
      <c r="ARW10" s="173"/>
      <c r="ARX10" s="173"/>
      <c r="ARY10" s="173"/>
      <c r="ARZ10" s="173"/>
      <c r="ASA10" s="173"/>
      <c r="ASB10" s="173"/>
      <c r="ASC10" s="173"/>
      <c r="ASD10" s="173"/>
      <c r="ASE10" s="173"/>
      <c r="ASF10" s="173"/>
      <c r="ASG10" s="173"/>
      <c r="ASH10" s="173"/>
      <c r="ASI10" s="173"/>
      <c r="ASJ10" s="173"/>
      <c r="ASK10" s="173"/>
      <c r="ASL10" s="173"/>
      <c r="ASM10" s="173"/>
      <c r="ASN10" s="173"/>
      <c r="ASO10" s="173"/>
      <c r="ASP10" s="173"/>
      <c r="ASQ10" s="173"/>
      <c r="ASR10" s="173"/>
      <c r="ASS10" s="173"/>
      <c r="AST10" s="173"/>
      <c r="ASU10" s="173"/>
      <c r="ASV10" s="173"/>
      <c r="ASW10" s="173"/>
      <c r="ASX10" s="173"/>
      <c r="ASY10" s="173"/>
      <c r="ASZ10" s="173"/>
      <c r="ATA10" s="173"/>
      <c r="ATB10" s="173"/>
      <c r="ATC10" s="173"/>
      <c r="ATD10" s="173"/>
      <c r="ATE10" s="173"/>
      <c r="ATF10" s="173"/>
      <c r="ATG10" s="173"/>
      <c r="ATH10" s="173"/>
      <c r="ATI10" s="173"/>
      <c r="ATJ10" s="173"/>
      <c r="ATK10" s="173"/>
      <c r="ATL10" s="173"/>
      <c r="ATM10" s="173"/>
      <c r="ATN10" s="173"/>
      <c r="ATO10" s="173"/>
      <c r="ATP10" s="173"/>
      <c r="ATQ10" s="173"/>
      <c r="ATR10" s="173"/>
      <c r="ATS10" s="173"/>
      <c r="ATT10" s="173"/>
      <c r="ATU10" s="173"/>
      <c r="ATV10" s="173"/>
      <c r="ATW10" s="173"/>
      <c r="ATX10" s="173"/>
      <c r="ATY10" s="173"/>
      <c r="ATZ10" s="173"/>
      <c r="AUA10" s="173"/>
      <c r="AUB10" s="173"/>
      <c r="AUC10" s="173"/>
      <c r="AUD10" s="173"/>
      <c r="AUE10" s="173"/>
      <c r="AUF10" s="173"/>
      <c r="AUG10" s="173"/>
      <c r="AUH10" s="173"/>
      <c r="AUI10" s="173"/>
      <c r="AUJ10" s="173"/>
      <c r="AUK10" s="173"/>
      <c r="AUL10" s="173"/>
      <c r="AUM10" s="173"/>
      <c r="AUN10" s="173"/>
      <c r="AUO10" s="173"/>
      <c r="AUP10" s="173"/>
      <c r="AUQ10" s="173"/>
      <c r="AUR10" s="173"/>
      <c r="AUS10" s="173"/>
      <c r="AUT10" s="173"/>
      <c r="AUU10" s="173"/>
      <c r="AUV10" s="173"/>
      <c r="AUW10" s="173"/>
      <c r="AUX10" s="173"/>
      <c r="AUY10" s="173"/>
      <c r="AUZ10" s="173"/>
      <c r="AVA10" s="173"/>
      <c r="AVB10" s="173"/>
      <c r="AVC10" s="173"/>
      <c r="AVD10" s="173"/>
      <c r="AVE10" s="173"/>
      <c r="AVF10" s="173"/>
      <c r="AVG10" s="173"/>
      <c r="AVH10" s="173"/>
      <c r="AVI10" s="173"/>
      <c r="AVJ10" s="173"/>
      <c r="AVK10" s="173"/>
      <c r="AVL10" s="173"/>
      <c r="AVM10" s="173"/>
      <c r="AVN10" s="173"/>
      <c r="AVO10" s="173"/>
      <c r="AVP10" s="173"/>
      <c r="AVQ10" s="173"/>
      <c r="AVR10" s="173"/>
      <c r="AVS10" s="173"/>
      <c r="AVT10" s="173"/>
      <c r="AVU10" s="173"/>
      <c r="AVV10" s="173"/>
      <c r="AVW10" s="173"/>
      <c r="AVX10" s="173"/>
      <c r="AVY10" s="173"/>
      <c r="AVZ10" s="173"/>
      <c r="AWA10" s="173"/>
      <c r="AWB10" s="173"/>
      <c r="AWC10" s="173"/>
      <c r="AWD10" s="173"/>
      <c r="AWE10" s="173"/>
      <c r="AWF10" s="173"/>
      <c r="AWG10" s="173"/>
      <c r="AWH10" s="173"/>
      <c r="AWI10" s="173"/>
      <c r="AWJ10" s="173"/>
      <c r="AWK10" s="173"/>
      <c r="AWL10" s="173"/>
      <c r="AWM10" s="173"/>
      <c r="AWN10" s="173"/>
      <c r="AWO10" s="173"/>
      <c r="AWP10" s="173"/>
      <c r="AWQ10" s="173"/>
      <c r="AWR10" s="173"/>
      <c r="AWS10" s="173"/>
      <c r="AWT10" s="173"/>
      <c r="AWU10" s="173"/>
      <c r="AWV10" s="173"/>
      <c r="AWW10" s="173"/>
      <c r="AWX10" s="173"/>
      <c r="AWY10" s="173"/>
      <c r="AWZ10" s="173"/>
      <c r="AXA10" s="173"/>
      <c r="AXB10" s="173"/>
      <c r="AXC10" s="173"/>
      <c r="AXD10" s="173"/>
      <c r="AXE10" s="173"/>
      <c r="AXF10" s="173"/>
      <c r="AXG10" s="173"/>
      <c r="AXH10" s="173"/>
      <c r="AXI10" s="173"/>
      <c r="AXJ10" s="173"/>
      <c r="AXK10" s="173"/>
      <c r="AXL10" s="173"/>
      <c r="AXM10" s="173"/>
      <c r="AXN10" s="173"/>
      <c r="AXO10" s="173"/>
      <c r="AXP10" s="173"/>
      <c r="AXQ10" s="173"/>
      <c r="AXR10" s="173"/>
      <c r="AXS10" s="173"/>
      <c r="AXT10" s="173"/>
      <c r="AXU10" s="173"/>
      <c r="AXV10" s="173"/>
      <c r="AXW10" s="173"/>
      <c r="AXX10" s="173"/>
      <c r="AXY10" s="173"/>
      <c r="AXZ10" s="173"/>
      <c r="AYA10" s="173"/>
      <c r="AYB10" s="173"/>
      <c r="AYC10" s="173"/>
      <c r="AYD10" s="173"/>
      <c r="AYE10" s="173"/>
      <c r="AYF10" s="173"/>
      <c r="AYG10" s="173"/>
      <c r="AYH10" s="173"/>
      <c r="AYI10" s="173"/>
      <c r="AYJ10" s="173"/>
      <c r="AYK10" s="173"/>
      <c r="AYL10" s="173"/>
      <c r="AYM10" s="173"/>
      <c r="AYN10" s="173"/>
      <c r="AYO10" s="173"/>
      <c r="AYP10" s="173"/>
      <c r="AYQ10" s="173"/>
      <c r="AYR10" s="173"/>
      <c r="AYS10" s="173"/>
      <c r="AYT10" s="173"/>
      <c r="AYU10" s="173"/>
      <c r="AYV10" s="173"/>
      <c r="AYW10" s="173"/>
      <c r="AYX10" s="173"/>
      <c r="AYY10" s="173"/>
      <c r="AYZ10" s="173"/>
      <c r="AZA10" s="173"/>
      <c r="AZB10" s="173"/>
      <c r="AZC10" s="173"/>
      <c r="AZD10" s="173"/>
      <c r="AZE10" s="173"/>
      <c r="AZF10" s="173"/>
      <c r="AZG10" s="173"/>
      <c r="AZH10" s="173"/>
      <c r="AZI10" s="173"/>
      <c r="AZJ10" s="173"/>
      <c r="AZK10" s="173"/>
      <c r="AZL10" s="173"/>
      <c r="AZM10" s="173"/>
      <c r="AZN10" s="173"/>
      <c r="AZO10" s="173"/>
      <c r="AZP10" s="173"/>
      <c r="AZQ10" s="173"/>
      <c r="AZR10" s="173"/>
      <c r="AZS10" s="173"/>
      <c r="AZT10" s="173"/>
      <c r="AZU10" s="173"/>
      <c r="AZV10" s="173"/>
      <c r="AZW10" s="173"/>
      <c r="AZX10" s="173"/>
      <c r="AZY10" s="173"/>
      <c r="AZZ10" s="173"/>
      <c r="BAA10" s="173"/>
      <c r="BAB10" s="173"/>
      <c r="BAC10" s="173"/>
      <c r="BAD10" s="173"/>
      <c r="BAE10" s="173"/>
      <c r="BAF10" s="173"/>
      <c r="BAG10" s="173"/>
      <c r="BAH10" s="173"/>
      <c r="BAI10" s="173"/>
      <c r="BAJ10" s="173"/>
      <c r="BAK10" s="173"/>
      <c r="BAL10" s="173"/>
      <c r="BAM10" s="173"/>
      <c r="BAN10" s="173"/>
      <c r="BAO10" s="173"/>
      <c r="BAP10" s="173"/>
      <c r="BAQ10" s="173"/>
      <c r="BAR10" s="173"/>
      <c r="BAS10" s="173"/>
      <c r="BAT10" s="173"/>
      <c r="BAU10" s="173"/>
      <c r="BAV10" s="173"/>
      <c r="BAW10" s="173"/>
      <c r="BAX10" s="173"/>
      <c r="BAY10" s="173"/>
      <c r="BAZ10" s="173"/>
      <c r="BBA10" s="173"/>
      <c r="BBB10" s="173"/>
      <c r="BBC10" s="173"/>
      <c r="BBD10" s="173"/>
      <c r="BBE10" s="173"/>
      <c r="BBF10" s="173"/>
      <c r="BBG10" s="173"/>
      <c r="BBH10" s="173"/>
      <c r="BBI10" s="173"/>
      <c r="BBJ10" s="173"/>
      <c r="BBK10" s="173"/>
      <c r="BBL10" s="173"/>
      <c r="BBM10" s="173"/>
      <c r="BBN10" s="173"/>
      <c r="BBO10" s="173"/>
      <c r="BBP10" s="173"/>
      <c r="BBQ10" s="173"/>
      <c r="BBR10" s="173"/>
      <c r="BBS10" s="173"/>
      <c r="BBT10" s="173"/>
      <c r="BBU10" s="173"/>
      <c r="BBV10" s="173"/>
      <c r="BBW10" s="173"/>
      <c r="BBX10" s="173"/>
      <c r="BBY10" s="173"/>
      <c r="BBZ10" s="173"/>
      <c r="BCA10" s="173"/>
      <c r="BCB10" s="173"/>
      <c r="BCC10" s="173"/>
      <c r="BCD10" s="173"/>
      <c r="BCE10" s="173"/>
      <c r="BCF10" s="173"/>
      <c r="BCG10" s="173"/>
      <c r="BCH10" s="173"/>
      <c r="BCI10" s="173"/>
      <c r="BCJ10" s="173"/>
      <c r="BCK10" s="173"/>
      <c r="BCL10" s="173"/>
      <c r="BCM10" s="173"/>
      <c r="BCN10" s="173"/>
      <c r="BCO10" s="173"/>
      <c r="BCP10" s="173"/>
      <c r="BCQ10" s="173"/>
      <c r="BCR10" s="173"/>
      <c r="BCS10" s="173"/>
      <c r="BCT10" s="173"/>
      <c r="BCU10" s="173"/>
      <c r="BCV10" s="173"/>
      <c r="BCW10" s="173"/>
      <c r="BCX10" s="173"/>
      <c r="BCY10" s="173"/>
      <c r="BCZ10" s="173"/>
      <c r="BDA10" s="173"/>
      <c r="BDB10" s="173"/>
      <c r="BDC10" s="173"/>
      <c r="BDD10" s="173"/>
      <c r="BDE10" s="173"/>
      <c r="BDF10" s="173"/>
      <c r="BDG10" s="173"/>
      <c r="BDH10" s="173"/>
      <c r="BDI10" s="173"/>
      <c r="BDJ10" s="173"/>
      <c r="BDK10" s="173"/>
      <c r="BDL10" s="173"/>
      <c r="BDM10" s="173"/>
      <c r="BDN10" s="173"/>
      <c r="BDO10" s="173"/>
      <c r="BDP10" s="173"/>
      <c r="BDQ10" s="173"/>
      <c r="BDR10" s="173"/>
      <c r="BDS10" s="173"/>
      <c r="BDT10" s="173"/>
      <c r="BDU10" s="173"/>
      <c r="BDV10" s="173"/>
      <c r="BDW10" s="173"/>
      <c r="BDX10" s="173"/>
      <c r="BDY10" s="173"/>
      <c r="BDZ10" s="173"/>
      <c r="BEA10" s="173"/>
      <c r="BEB10" s="173"/>
      <c r="BEC10" s="173"/>
      <c r="BED10" s="173"/>
      <c r="BEE10" s="173"/>
      <c r="BEF10" s="173"/>
      <c r="BEG10" s="173"/>
      <c r="BEH10" s="173"/>
      <c r="BEI10" s="173"/>
      <c r="BEJ10" s="173"/>
      <c r="BEK10" s="173"/>
      <c r="BEL10" s="173"/>
      <c r="BEM10" s="173"/>
      <c r="BEN10" s="173"/>
      <c r="BEO10" s="173"/>
      <c r="BEP10" s="173"/>
      <c r="BEQ10" s="173"/>
      <c r="BER10" s="173"/>
      <c r="BES10" s="173"/>
      <c r="BET10" s="173"/>
      <c r="BEU10" s="173"/>
      <c r="BEV10" s="173"/>
      <c r="BEW10" s="173"/>
      <c r="BEX10" s="173"/>
      <c r="BEY10" s="173"/>
      <c r="BEZ10" s="173"/>
      <c r="BFA10" s="173"/>
      <c r="BFB10" s="173"/>
      <c r="BFC10" s="173"/>
      <c r="BFD10" s="173"/>
      <c r="BFE10" s="173"/>
      <c r="BFF10" s="173"/>
      <c r="BFG10" s="173"/>
      <c r="BFH10" s="173"/>
      <c r="BFI10" s="173"/>
      <c r="BFJ10" s="173"/>
      <c r="BFK10" s="173"/>
      <c r="BFL10" s="173"/>
      <c r="BFM10" s="173"/>
      <c r="BFN10" s="173"/>
      <c r="BFO10" s="173"/>
      <c r="BFP10" s="173"/>
      <c r="BFQ10" s="173"/>
      <c r="BFR10" s="173"/>
      <c r="BFS10" s="173"/>
      <c r="BFT10" s="173"/>
      <c r="BFU10" s="173"/>
      <c r="BFV10" s="173"/>
      <c r="BFW10" s="173"/>
      <c r="BFX10" s="173"/>
      <c r="BFY10" s="173"/>
      <c r="BFZ10" s="173"/>
      <c r="BGA10" s="173"/>
      <c r="BGB10" s="173"/>
      <c r="BGC10" s="173"/>
      <c r="BGD10" s="173"/>
      <c r="BGE10" s="173"/>
      <c r="BGF10" s="173"/>
      <c r="BGG10" s="173"/>
      <c r="BGH10" s="173"/>
      <c r="BGI10" s="173"/>
      <c r="BGJ10" s="173"/>
      <c r="BGK10" s="173"/>
      <c r="BGL10" s="173"/>
      <c r="BGM10" s="173"/>
      <c r="BGN10" s="173"/>
      <c r="BGO10" s="173"/>
      <c r="BGP10" s="173"/>
      <c r="BGQ10" s="173"/>
      <c r="BGR10" s="173"/>
      <c r="BGS10" s="173"/>
      <c r="BGT10" s="173"/>
      <c r="BGU10" s="173"/>
      <c r="BGV10" s="173"/>
      <c r="BGW10" s="173"/>
      <c r="BGX10" s="173"/>
      <c r="BGY10" s="173"/>
      <c r="BGZ10" s="173"/>
      <c r="BHA10" s="173"/>
      <c r="BHB10" s="173"/>
      <c r="BHC10" s="173"/>
      <c r="BHD10" s="173"/>
      <c r="BHE10" s="173"/>
      <c r="BHF10" s="173"/>
      <c r="BHG10" s="173"/>
      <c r="BHH10" s="173"/>
      <c r="BHI10" s="173"/>
      <c r="BHJ10" s="173"/>
      <c r="BHK10" s="173"/>
      <c r="BHL10" s="173"/>
      <c r="BHM10" s="173"/>
      <c r="BHN10" s="173"/>
      <c r="BHO10" s="173"/>
      <c r="BHP10" s="173"/>
      <c r="BHQ10" s="173"/>
      <c r="BHR10" s="173"/>
      <c r="BHS10" s="173"/>
      <c r="BHT10" s="173"/>
      <c r="BHU10" s="173"/>
      <c r="BHV10" s="173"/>
      <c r="BHW10" s="173"/>
      <c r="BHX10" s="173"/>
      <c r="BHY10" s="173"/>
      <c r="BHZ10" s="173"/>
      <c r="BIA10" s="173"/>
      <c r="BIB10" s="173"/>
      <c r="BIC10" s="173"/>
      <c r="BID10" s="173"/>
      <c r="BIE10" s="173"/>
      <c r="BIF10" s="173"/>
      <c r="BIG10" s="173"/>
      <c r="BIH10" s="173"/>
      <c r="BII10" s="173"/>
      <c r="BIJ10" s="173"/>
      <c r="BIK10" s="173"/>
      <c r="BIL10" s="173"/>
      <c r="BIM10" s="173"/>
      <c r="BIN10" s="173"/>
      <c r="BIO10" s="173"/>
      <c r="BIP10" s="173"/>
      <c r="BIQ10" s="173"/>
      <c r="BIR10" s="173"/>
      <c r="BIS10" s="173"/>
      <c r="BIT10" s="173"/>
      <c r="BIU10" s="173"/>
      <c r="BIV10" s="173"/>
      <c r="BIW10" s="173"/>
      <c r="BIX10" s="173"/>
      <c r="BIY10" s="173"/>
      <c r="BIZ10" s="173"/>
      <c r="BJA10" s="173"/>
      <c r="BJB10" s="173"/>
      <c r="BJC10" s="173"/>
      <c r="BJD10" s="173"/>
      <c r="BJE10" s="173"/>
      <c r="BJF10" s="173"/>
      <c r="BJG10" s="173"/>
      <c r="BJH10" s="173"/>
      <c r="BJI10" s="173"/>
      <c r="BJJ10" s="173"/>
      <c r="BJK10" s="173"/>
      <c r="BJL10" s="173"/>
      <c r="BJM10" s="173"/>
      <c r="BJN10" s="73"/>
    </row>
    <row r="11" spans="1:1626" s="71" customFormat="1" ht="20.100000000000001" customHeight="1" x14ac:dyDescent="0.25">
      <c r="A11" s="146"/>
      <c r="B11" s="142"/>
      <c r="C11" s="201"/>
      <c r="D11" s="201"/>
      <c r="E11" s="201"/>
      <c r="F11" s="197" t="s">
        <v>116</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116</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t="s">
        <v>115</v>
      </c>
      <c r="DW11" s="197"/>
      <c r="DX11" s="197"/>
      <c r="DY11" s="197"/>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t="s">
        <v>115</v>
      </c>
      <c r="GE11" s="197"/>
      <c r="GF11" s="197"/>
      <c r="GG11" s="197"/>
      <c r="GH11" s="197"/>
      <c r="GI11" s="197"/>
      <c r="GJ11" s="197"/>
      <c r="GK11" s="197"/>
      <c r="GL11" s="197"/>
      <c r="GM11" s="197"/>
      <c r="GN11" s="197"/>
      <c r="GO11" s="197"/>
      <c r="GP11" s="197"/>
      <c r="GQ11" s="197"/>
      <c r="GR11" s="197"/>
      <c r="GS11" s="197"/>
      <c r="GT11" s="197"/>
      <c r="GU11" s="197"/>
      <c r="GV11" s="197"/>
      <c r="GW11" s="197"/>
      <c r="GX11" s="197"/>
      <c r="GY11" s="197"/>
      <c r="GZ11" s="197"/>
      <c r="HA11" s="197"/>
      <c r="HB11" s="197"/>
      <c r="HC11" s="197"/>
      <c r="HD11" s="197"/>
      <c r="HE11" s="197"/>
      <c r="HF11" s="197"/>
      <c r="HG11" s="197"/>
      <c r="HH11" s="197"/>
      <c r="HI11" s="197"/>
      <c r="HJ11" s="197"/>
      <c r="HK11" s="197"/>
      <c r="HL11" s="197"/>
      <c r="HM11" s="197"/>
      <c r="HN11" s="197"/>
      <c r="HO11" s="197"/>
      <c r="HP11" s="197"/>
      <c r="HQ11" s="197"/>
      <c r="HR11" s="197"/>
      <c r="HS11" s="197"/>
      <c r="HT11" s="197"/>
      <c r="HU11" s="197"/>
      <c r="HV11" s="197"/>
      <c r="HW11" s="197"/>
      <c r="HX11" s="197"/>
      <c r="HY11" s="197"/>
      <c r="HZ11" s="197"/>
      <c r="IA11" s="197"/>
      <c r="IB11" s="197"/>
      <c r="IC11" s="197"/>
      <c r="ID11" s="197"/>
      <c r="IE11" s="197"/>
      <c r="IF11" s="197"/>
      <c r="IG11" s="197"/>
      <c r="IH11" s="197"/>
      <c r="II11" s="197"/>
      <c r="IJ11" s="197"/>
      <c r="IK11" s="197"/>
      <c r="IL11" s="197" t="s">
        <v>112</v>
      </c>
      <c r="IM11" s="197"/>
      <c r="IN11" s="197"/>
      <c r="IO11" s="197"/>
      <c r="IP11" s="197"/>
      <c r="IQ11" s="197"/>
      <c r="IR11" s="197"/>
      <c r="IS11" s="197"/>
      <c r="IT11" s="197"/>
      <c r="IU11" s="197"/>
      <c r="IV11" s="197"/>
      <c r="IW11" s="197"/>
      <c r="IX11" s="197"/>
      <c r="IY11" s="197"/>
      <c r="IZ11" s="197"/>
      <c r="JA11" s="197"/>
      <c r="JB11" s="197"/>
      <c r="JC11" s="197"/>
      <c r="JD11" s="197"/>
      <c r="JE11" s="197"/>
      <c r="JF11" s="197"/>
      <c r="JG11" s="197"/>
      <c r="JH11" s="197"/>
      <c r="JI11" s="197"/>
      <c r="JJ11" s="197"/>
      <c r="JK11" s="197"/>
      <c r="JL11" s="197"/>
      <c r="JM11" s="197"/>
      <c r="JN11" s="197"/>
      <c r="JO11" s="197"/>
      <c r="JP11" s="197"/>
      <c r="JQ11" s="197"/>
      <c r="JR11" s="197"/>
      <c r="JS11" s="197"/>
      <c r="JT11" s="197"/>
      <c r="JU11" s="197"/>
      <c r="JV11" s="197"/>
      <c r="JW11" s="197"/>
      <c r="JX11" s="197"/>
      <c r="JY11" s="197"/>
      <c r="JZ11" s="197"/>
      <c r="KA11" s="197"/>
      <c r="KB11" s="197"/>
      <c r="KC11" s="197"/>
      <c r="KD11" s="197"/>
      <c r="KE11" s="197"/>
      <c r="KF11" s="197"/>
      <c r="KG11" s="197"/>
      <c r="KH11" s="197"/>
      <c r="KI11" s="197"/>
      <c r="KJ11" s="197"/>
      <c r="KK11" s="197"/>
      <c r="KL11" s="197"/>
      <c r="KM11" s="197"/>
      <c r="KN11" s="197"/>
      <c r="KO11" s="197"/>
      <c r="KP11" s="197"/>
      <c r="KQ11" s="197"/>
      <c r="KR11" s="197"/>
      <c r="KS11" s="197"/>
      <c r="KT11" s="197" t="s">
        <v>112</v>
      </c>
      <c r="KU11" s="197"/>
      <c r="KV11" s="197"/>
      <c r="KW11" s="197"/>
      <c r="KX11" s="197"/>
      <c r="KY11" s="197"/>
      <c r="KZ11" s="197"/>
      <c r="LA11" s="197"/>
      <c r="LB11" s="197"/>
      <c r="LC11" s="197"/>
      <c r="LD11" s="197"/>
      <c r="LE11" s="197"/>
      <c r="LF11" s="197"/>
      <c r="LG11" s="197"/>
      <c r="LH11" s="197"/>
      <c r="LI11" s="197"/>
      <c r="LJ11" s="197"/>
      <c r="LK11" s="197"/>
      <c r="LL11" s="197"/>
      <c r="LM11" s="197"/>
      <c r="LN11" s="197"/>
      <c r="LO11" s="197"/>
      <c r="LP11" s="197"/>
      <c r="LQ11" s="197"/>
      <c r="LR11" s="197"/>
      <c r="LS11" s="197"/>
      <c r="LT11" s="197"/>
      <c r="LU11" s="197"/>
      <c r="LV11" s="197"/>
      <c r="LW11" s="197"/>
      <c r="LX11" s="197"/>
      <c r="LY11" s="197"/>
      <c r="LZ11" s="197"/>
      <c r="MA11" s="197"/>
      <c r="MB11" s="197"/>
      <c r="MC11" s="197"/>
      <c r="MD11" s="197"/>
      <c r="ME11" s="197"/>
      <c r="MF11" s="197"/>
      <c r="MG11" s="197"/>
      <c r="MH11" s="197"/>
      <c r="MI11" s="197"/>
      <c r="MJ11" s="197"/>
      <c r="MK11" s="197"/>
      <c r="ML11" s="197"/>
      <c r="MM11" s="197"/>
      <c r="MN11" s="197"/>
      <c r="MO11" s="197"/>
      <c r="MP11" s="197"/>
      <c r="MQ11" s="197"/>
      <c r="MR11" s="197"/>
      <c r="MS11" s="197"/>
      <c r="MT11" s="197"/>
      <c r="MU11" s="197"/>
      <c r="MV11" s="197"/>
      <c r="MW11" s="197"/>
      <c r="MX11" s="197"/>
      <c r="MY11" s="197"/>
      <c r="MZ11" s="197"/>
      <c r="NA11" s="197"/>
      <c r="NB11" s="197" t="s">
        <v>109</v>
      </c>
      <c r="NC11" s="197"/>
      <c r="ND11" s="197"/>
      <c r="NE11" s="197"/>
      <c r="NF11" s="197"/>
      <c r="NG11" s="197"/>
      <c r="NH11" s="197"/>
      <c r="NI11" s="197"/>
      <c r="NJ11" s="197"/>
      <c r="NK11" s="197"/>
      <c r="NL11" s="197"/>
      <c r="NM11" s="197"/>
      <c r="NN11" s="197"/>
      <c r="NO11" s="197"/>
      <c r="NP11" s="197"/>
      <c r="NQ11" s="197"/>
      <c r="NR11" s="197"/>
      <c r="NS11" s="197"/>
      <c r="NT11" s="197"/>
      <c r="NU11" s="197"/>
      <c r="NV11" s="197"/>
      <c r="NW11" s="197"/>
      <c r="NX11" s="197"/>
      <c r="NY11" s="197"/>
      <c r="NZ11" s="197"/>
      <c r="OA11" s="197"/>
      <c r="OB11" s="197"/>
      <c r="OC11" s="197"/>
      <c r="OD11" s="197"/>
      <c r="OE11" s="197"/>
      <c r="OF11" s="197"/>
      <c r="OG11" s="197"/>
      <c r="OH11" s="197"/>
      <c r="OI11" s="197"/>
      <c r="OJ11" s="197"/>
      <c r="OK11" s="197"/>
      <c r="OL11" s="197"/>
      <c r="OM11" s="197"/>
      <c r="ON11" s="197"/>
      <c r="OO11" s="197"/>
      <c r="OP11" s="197"/>
      <c r="OQ11" s="197"/>
      <c r="OR11" s="197"/>
      <c r="OS11" s="197"/>
      <c r="OT11" s="197"/>
      <c r="OU11" s="197"/>
      <c r="OV11" s="197"/>
      <c r="OW11" s="197"/>
      <c r="OX11" s="197"/>
      <c r="OY11" s="197"/>
      <c r="OZ11" s="197"/>
      <c r="PA11" s="197"/>
      <c r="PB11" s="197"/>
      <c r="PC11" s="197"/>
      <c r="PD11" s="197"/>
      <c r="PE11" s="197"/>
      <c r="PF11" s="197"/>
      <c r="PG11" s="197"/>
      <c r="PH11" s="197"/>
      <c r="PI11" s="197"/>
      <c r="PJ11" s="197" t="s">
        <v>109</v>
      </c>
      <c r="PK11" s="197"/>
      <c r="PL11" s="197"/>
      <c r="PM11" s="197"/>
      <c r="PN11" s="197"/>
      <c r="PO11" s="197"/>
      <c r="PP11" s="197"/>
      <c r="PQ11" s="197"/>
      <c r="PR11" s="197"/>
      <c r="PS11" s="197"/>
      <c r="PT11" s="197"/>
      <c r="PU11" s="197"/>
      <c r="PV11" s="197"/>
      <c r="PW11" s="197"/>
      <c r="PX11" s="197"/>
      <c r="PY11" s="197"/>
      <c r="PZ11" s="197"/>
      <c r="QA11" s="197"/>
      <c r="QB11" s="197"/>
      <c r="QC11" s="197"/>
      <c r="QD11" s="197"/>
      <c r="QE11" s="197"/>
      <c r="QF11" s="197"/>
      <c r="QG11" s="197"/>
      <c r="QH11" s="197"/>
      <c r="QI11" s="197"/>
      <c r="QJ11" s="197"/>
      <c r="QK11" s="197"/>
      <c r="QL11" s="197"/>
      <c r="QM11" s="197"/>
      <c r="QN11" s="197"/>
      <c r="QO11" s="197"/>
      <c r="QP11" s="197"/>
      <c r="QQ11" s="197"/>
      <c r="QR11" s="197"/>
      <c r="QS11" s="197"/>
      <c r="QT11" s="197"/>
      <c r="QU11" s="197"/>
      <c r="QV11" s="197"/>
      <c r="QW11" s="197"/>
      <c r="QX11" s="197"/>
      <c r="QY11" s="197"/>
      <c r="QZ11" s="197"/>
      <c r="RA11" s="197"/>
      <c r="RB11" s="197"/>
      <c r="RC11" s="197"/>
      <c r="RD11" s="197"/>
      <c r="RE11" s="197"/>
      <c r="RF11" s="197"/>
      <c r="RG11" s="197"/>
      <c r="RH11" s="197"/>
      <c r="RI11" s="197"/>
      <c r="RJ11" s="197"/>
      <c r="RK11" s="197"/>
      <c r="RL11" s="197"/>
      <c r="RM11" s="197"/>
      <c r="RN11" s="197"/>
      <c r="RO11" s="197"/>
      <c r="RP11" s="197"/>
      <c r="RQ11" s="197"/>
      <c r="RR11" s="197" t="s">
        <v>106</v>
      </c>
      <c r="RS11" s="197"/>
      <c r="RT11" s="197"/>
      <c r="RU11" s="197"/>
      <c r="RV11" s="197"/>
      <c r="RW11" s="197"/>
      <c r="RX11" s="197"/>
      <c r="RY11" s="197"/>
      <c r="RZ11" s="197"/>
      <c r="SA11" s="197"/>
      <c r="SB11" s="197"/>
      <c r="SC11" s="197"/>
      <c r="SD11" s="197"/>
      <c r="SE11" s="197"/>
      <c r="SF11" s="197"/>
      <c r="SG11" s="197"/>
      <c r="SH11" s="197"/>
      <c r="SI11" s="197"/>
      <c r="SJ11" s="197"/>
      <c r="SK11" s="197"/>
      <c r="SL11" s="197"/>
      <c r="SM11" s="197"/>
      <c r="SN11" s="197"/>
      <c r="SO11" s="197"/>
      <c r="SP11" s="197"/>
      <c r="SQ11" s="197"/>
      <c r="SR11" s="197"/>
      <c r="SS11" s="197"/>
      <c r="ST11" s="197"/>
      <c r="SU11" s="197"/>
      <c r="SV11" s="197"/>
      <c r="SW11" s="197"/>
      <c r="SX11" s="197"/>
      <c r="SY11" s="197"/>
      <c r="SZ11" s="197"/>
      <c r="TA11" s="197"/>
      <c r="TB11" s="197"/>
      <c r="TC11" s="197"/>
      <c r="TD11" s="197"/>
      <c r="TE11" s="197"/>
      <c r="TF11" s="197"/>
      <c r="TG11" s="197"/>
      <c r="TH11" s="197"/>
      <c r="TI11" s="197"/>
      <c r="TJ11" s="197"/>
      <c r="TK11" s="197"/>
      <c r="TL11" s="197"/>
      <c r="TM11" s="197"/>
      <c r="TN11" s="197"/>
      <c r="TO11" s="197"/>
      <c r="TP11" s="197"/>
      <c r="TQ11" s="197"/>
      <c r="TR11" s="197"/>
      <c r="TS11" s="197"/>
      <c r="TT11" s="197"/>
      <c r="TU11" s="197"/>
      <c r="TV11" s="197"/>
      <c r="TW11" s="197"/>
      <c r="TX11" s="197"/>
      <c r="TY11" s="197"/>
      <c r="TZ11" s="197" t="s">
        <v>106</v>
      </c>
      <c r="UA11" s="197"/>
      <c r="UB11" s="197"/>
      <c r="UC11" s="197"/>
      <c r="UD11" s="197"/>
      <c r="UE11" s="197"/>
      <c r="UF11" s="197"/>
      <c r="UG11" s="197"/>
      <c r="UH11" s="197"/>
      <c r="UI11" s="197"/>
      <c r="UJ11" s="197"/>
      <c r="UK11" s="197"/>
      <c r="UL11" s="197"/>
      <c r="UM11" s="197"/>
      <c r="UN11" s="197"/>
      <c r="UO11" s="197"/>
      <c r="UP11" s="197"/>
      <c r="UQ11" s="197"/>
      <c r="UR11" s="197"/>
      <c r="US11" s="197"/>
      <c r="UT11" s="197"/>
      <c r="UU11" s="197"/>
      <c r="UV11" s="197"/>
      <c r="UW11" s="197"/>
      <c r="UX11" s="197"/>
      <c r="UY11" s="197"/>
      <c r="UZ11" s="197"/>
      <c r="VA11" s="197"/>
      <c r="VB11" s="197"/>
      <c r="VC11" s="197"/>
      <c r="VD11" s="197"/>
      <c r="VE11" s="197"/>
      <c r="VF11" s="197"/>
      <c r="VG11" s="197"/>
      <c r="VH11" s="197"/>
      <c r="VI11" s="197"/>
      <c r="VJ11" s="197"/>
      <c r="VK11" s="197"/>
      <c r="VL11" s="197"/>
      <c r="VM11" s="197"/>
      <c r="VN11" s="197"/>
      <c r="VO11" s="197"/>
      <c r="VP11" s="197"/>
      <c r="VQ11" s="197"/>
      <c r="VR11" s="197"/>
      <c r="VS11" s="197"/>
      <c r="VT11" s="197"/>
      <c r="VU11" s="197"/>
      <c r="VV11" s="197"/>
      <c r="VW11" s="197"/>
      <c r="VX11" s="197"/>
      <c r="VY11" s="197"/>
      <c r="VZ11" s="197"/>
      <c r="WA11" s="197"/>
      <c r="WB11" s="197"/>
      <c r="WC11" s="197"/>
      <c r="WD11" s="197"/>
      <c r="WE11" s="197"/>
      <c r="WF11" s="197"/>
      <c r="WG11" s="197"/>
      <c r="WH11" s="197" t="s">
        <v>103</v>
      </c>
      <c r="WI11" s="197"/>
      <c r="WJ11" s="197"/>
      <c r="WK11" s="197"/>
      <c r="WL11" s="197"/>
      <c r="WM11" s="197"/>
      <c r="WN11" s="197"/>
      <c r="WO11" s="197"/>
      <c r="WP11" s="197"/>
      <c r="WQ11" s="197"/>
      <c r="WR11" s="197"/>
      <c r="WS11" s="197"/>
      <c r="WT11" s="197"/>
      <c r="WU11" s="197"/>
      <c r="WV11" s="197"/>
      <c r="WW11" s="197"/>
      <c r="WX11" s="197"/>
      <c r="WY11" s="197"/>
      <c r="WZ11" s="197"/>
      <c r="XA11" s="197"/>
      <c r="XB11" s="197"/>
      <c r="XC11" s="197"/>
      <c r="XD11" s="197"/>
      <c r="XE11" s="197"/>
      <c r="XF11" s="197"/>
      <c r="XG11" s="197"/>
      <c r="XH11" s="197"/>
      <c r="XI11" s="197"/>
      <c r="XJ11" s="197"/>
      <c r="XK11" s="197"/>
      <c r="XL11" s="197"/>
      <c r="XM11" s="197"/>
      <c r="XN11" s="197"/>
      <c r="XO11" s="197"/>
      <c r="XP11" s="197"/>
      <c r="XQ11" s="197"/>
      <c r="XR11" s="197"/>
      <c r="XS11" s="197"/>
      <c r="XT11" s="197"/>
      <c r="XU11" s="197"/>
      <c r="XV11" s="197"/>
      <c r="XW11" s="197"/>
      <c r="XX11" s="197"/>
      <c r="XY11" s="197"/>
      <c r="XZ11" s="197"/>
      <c r="YA11" s="197"/>
      <c r="YB11" s="197"/>
      <c r="YC11" s="197"/>
      <c r="YD11" s="197"/>
      <c r="YE11" s="197"/>
      <c r="YF11" s="197"/>
      <c r="YG11" s="197"/>
      <c r="YH11" s="197"/>
      <c r="YI11" s="197"/>
      <c r="YJ11" s="197"/>
      <c r="YK11" s="197"/>
      <c r="YL11" s="197"/>
      <c r="YM11" s="197"/>
      <c r="YN11" s="197"/>
      <c r="YO11" s="197"/>
      <c r="YP11" s="197" t="s">
        <v>103</v>
      </c>
      <c r="YQ11" s="197"/>
      <c r="YR11" s="197"/>
      <c r="YS11" s="197"/>
      <c r="YT11" s="197"/>
      <c r="YU11" s="197"/>
      <c r="YV11" s="197"/>
      <c r="YW11" s="197"/>
      <c r="YX11" s="197"/>
      <c r="YY11" s="197"/>
      <c r="YZ11" s="197"/>
      <c r="ZA11" s="197"/>
      <c r="ZB11" s="197"/>
      <c r="ZC11" s="197"/>
      <c r="ZD11" s="197"/>
      <c r="ZE11" s="197"/>
      <c r="ZF11" s="197"/>
      <c r="ZG11" s="197"/>
      <c r="ZH11" s="197"/>
      <c r="ZI11" s="197"/>
      <c r="ZJ11" s="197"/>
      <c r="ZK11" s="197"/>
      <c r="ZL11" s="197"/>
      <c r="ZM11" s="197"/>
      <c r="ZN11" s="197"/>
      <c r="ZO11" s="197"/>
      <c r="ZP11" s="197"/>
      <c r="ZQ11" s="197"/>
      <c r="ZR11" s="197"/>
      <c r="ZS11" s="197"/>
      <c r="ZT11" s="197"/>
      <c r="ZU11" s="197"/>
      <c r="ZV11" s="197"/>
      <c r="ZW11" s="197"/>
      <c r="ZX11" s="197"/>
      <c r="ZY11" s="197"/>
      <c r="ZZ11" s="197"/>
      <c r="AAA11" s="197"/>
      <c r="AAB11" s="197"/>
      <c r="AAC11" s="197"/>
      <c r="AAD11" s="197"/>
      <c r="AAE11" s="197"/>
      <c r="AAF11" s="197"/>
      <c r="AAG11" s="197"/>
      <c r="AAH11" s="197"/>
      <c r="AAI11" s="197"/>
      <c r="AAJ11" s="197"/>
      <c r="AAK11" s="197"/>
      <c r="AAL11" s="197"/>
      <c r="AAM11" s="197"/>
      <c r="AAN11" s="197"/>
      <c r="AAO11" s="197"/>
      <c r="AAP11" s="197"/>
      <c r="AAQ11" s="197"/>
      <c r="AAR11" s="197"/>
      <c r="AAS11" s="197"/>
      <c r="AAT11" s="197"/>
      <c r="AAU11" s="197"/>
      <c r="AAV11" s="197"/>
      <c r="AAW11" s="197"/>
      <c r="AAX11" s="197" t="s">
        <v>100</v>
      </c>
      <c r="AAY11" s="197"/>
      <c r="AAZ11" s="197"/>
      <c r="ABA11" s="197"/>
      <c r="ABB11" s="197"/>
      <c r="ABC11" s="197"/>
      <c r="ABD11" s="197"/>
      <c r="ABE11" s="197"/>
      <c r="ABF11" s="197"/>
      <c r="ABG11" s="197"/>
      <c r="ABH11" s="197"/>
      <c r="ABI11" s="197"/>
      <c r="ABJ11" s="197"/>
      <c r="ABK11" s="197"/>
      <c r="ABL11" s="197"/>
      <c r="ABM11" s="197"/>
      <c r="ABN11" s="197"/>
      <c r="ABO11" s="197"/>
      <c r="ABP11" s="197"/>
      <c r="ABQ11" s="197"/>
      <c r="ABR11" s="197"/>
      <c r="ABS11" s="197"/>
      <c r="ABT11" s="197"/>
      <c r="ABU11" s="197"/>
      <c r="ABV11" s="197"/>
      <c r="ABW11" s="197"/>
      <c r="ABX11" s="197"/>
      <c r="ABY11" s="197"/>
      <c r="ABZ11" s="197"/>
      <c r="ACA11" s="197"/>
      <c r="ACB11" s="197"/>
      <c r="ACC11" s="197"/>
      <c r="ACD11" s="197"/>
      <c r="ACE11" s="197"/>
      <c r="ACF11" s="197"/>
      <c r="ACG11" s="197"/>
      <c r="ACH11" s="197"/>
      <c r="ACI11" s="197"/>
      <c r="ACJ11" s="197"/>
      <c r="ACK11" s="197"/>
      <c r="ACL11" s="197"/>
      <c r="ACM11" s="197"/>
      <c r="ACN11" s="197"/>
      <c r="ACO11" s="197"/>
      <c r="ACP11" s="197"/>
      <c r="ACQ11" s="197"/>
      <c r="ACR11" s="197"/>
      <c r="ACS11" s="197"/>
      <c r="ACT11" s="197"/>
      <c r="ACU11" s="197"/>
      <c r="ACV11" s="197"/>
      <c r="ACW11" s="197"/>
      <c r="ACX11" s="197"/>
      <c r="ACY11" s="197"/>
      <c r="ACZ11" s="197"/>
      <c r="ADA11" s="197"/>
      <c r="ADB11" s="197"/>
      <c r="ADC11" s="197"/>
      <c r="ADD11" s="197"/>
      <c r="ADE11" s="197"/>
      <c r="ADF11" s="197" t="s">
        <v>100</v>
      </c>
      <c r="ADG11" s="197"/>
      <c r="ADH11" s="197"/>
      <c r="ADI11" s="197"/>
      <c r="ADJ11" s="197"/>
      <c r="ADK11" s="197"/>
      <c r="ADL11" s="197"/>
      <c r="ADM11" s="197"/>
      <c r="ADN11" s="197"/>
      <c r="ADO11" s="197"/>
      <c r="ADP11" s="197"/>
      <c r="ADQ11" s="197"/>
      <c r="ADR11" s="197"/>
      <c r="ADS11" s="197"/>
      <c r="ADT11" s="197"/>
      <c r="ADU11" s="197"/>
      <c r="ADV11" s="197"/>
      <c r="ADW11" s="197"/>
      <c r="ADX11" s="197"/>
      <c r="ADY11" s="197"/>
      <c r="ADZ11" s="197"/>
      <c r="AEA11" s="197"/>
      <c r="AEB11" s="197"/>
      <c r="AEC11" s="197"/>
      <c r="AED11" s="197"/>
      <c r="AEE11" s="197"/>
      <c r="AEF11" s="197"/>
      <c r="AEG11" s="197"/>
      <c r="AEH11" s="197"/>
      <c r="AEI11" s="197"/>
      <c r="AEJ11" s="197"/>
      <c r="AEK11" s="197"/>
      <c r="AEL11" s="197"/>
      <c r="AEM11" s="197"/>
      <c r="AEN11" s="197"/>
      <c r="AEO11" s="197"/>
      <c r="AEP11" s="197"/>
      <c r="AEQ11" s="197"/>
      <c r="AER11" s="197"/>
      <c r="AES11" s="197"/>
      <c r="AET11" s="197"/>
      <c r="AEU11" s="197"/>
      <c r="AEV11" s="197"/>
      <c r="AEW11" s="197"/>
      <c r="AEX11" s="197"/>
      <c r="AEY11" s="197"/>
      <c r="AEZ11" s="197"/>
      <c r="AFA11" s="197"/>
      <c r="AFB11" s="197"/>
      <c r="AFC11" s="197"/>
      <c r="AFD11" s="197"/>
      <c r="AFE11" s="197"/>
      <c r="AFF11" s="197"/>
      <c r="AFG11" s="197"/>
      <c r="AFH11" s="197"/>
      <c r="AFI11" s="197"/>
      <c r="AFJ11" s="197"/>
      <c r="AFK11" s="197"/>
      <c r="AFL11" s="197"/>
      <c r="AFM11" s="197"/>
      <c r="AFN11" s="197" t="s">
        <v>97</v>
      </c>
      <c r="AFO11" s="197"/>
      <c r="AFP11" s="197"/>
      <c r="AFQ11" s="197"/>
      <c r="AFR11" s="197"/>
      <c r="AFS11" s="197"/>
      <c r="AFT11" s="197"/>
      <c r="AFU11" s="197"/>
      <c r="AFV11" s="197"/>
      <c r="AFW11" s="197"/>
      <c r="AFX11" s="197"/>
      <c r="AFY11" s="197"/>
      <c r="AFZ11" s="197"/>
      <c r="AGA11" s="197"/>
      <c r="AGB11" s="197"/>
      <c r="AGC11" s="197"/>
      <c r="AGD11" s="197"/>
      <c r="AGE11" s="197"/>
      <c r="AGF11" s="197"/>
      <c r="AGG11" s="197"/>
      <c r="AGH11" s="197"/>
      <c r="AGI11" s="197"/>
      <c r="AGJ11" s="197"/>
      <c r="AGK11" s="197"/>
      <c r="AGL11" s="197"/>
      <c r="AGM11" s="197"/>
      <c r="AGN11" s="197"/>
      <c r="AGO11" s="197"/>
      <c r="AGP11" s="197"/>
      <c r="AGQ11" s="197"/>
      <c r="AGR11" s="197"/>
      <c r="AGS11" s="197"/>
      <c r="AGT11" s="197"/>
      <c r="AGU11" s="197"/>
      <c r="AGV11" s="197"/>
      <c r="AGW11" s="197"/>
      <c r="AGX11" s="197"/>
      <c r="AGY11" s="197"/>
      <c r="AGZ11" s="197"/>
      <c r="AHA11" s="197"/>
      <c r="AHB11" s="197"/>
      <c r="AHC11" s="197"/>
      <c r="AHD11" s="197"/>
      <c r="AHE11" s="197"/>
      <c r="AHF11" s="197"/>
      <c r="AHG11" s="197"/>
      <c r="AHH11" s="197"/>
      <c r="AHI11" s="197"/>
      <c r="AHJ11" s="197"/>
      <c r="AHK11" s="197"/>
      <c r="AHL11" s="197"/>
      <c r="AHM11" s="197"/>
      <c r="AHN11" s="197"/>
      <c r="AHO11" s="197"/>
      <c r="AHP11" s="197"/>
      <c r="AHQ11" s="197"/>
      <c r="AHR11" s="197"/>
      <c r="AHS11" s="197"/>
      <c r="AHT11" s="197"/>
      <c r="AHU11" s="197"/>
      <c r="AHV11" s="197" t="s">
        <v>97</v>
      </c>
      <c r="AHW11" s="197"/>
      <c r="AHX11" s="197"/>
      <c r="AHY11" s="197"/>
      <c r="AHZ11" s="197"/>
      <c r="AIA11" s="197"/>
      <c r="AIB11" s="197"/>
      <c r="AIC11" s="197"/>
      <c r="AID11" s="197"/>
      <c r="AIE11" s="197"/>
      <c r="AIF11" s="197"/>
      <c r="AIG11" s="197"/>
      <c r="AIH11" s="197"/>
      <c r="AII11" s="197"/>
      <c r="AIJ11" s="197"/>
      <c r="AIK11" s="197"/>
      <c r="AIL11" s="197"/>
      <c r="AIM11" s="197"/>
      <c r="AIN11" s="197"/>
      <c r="AIO11" s="197"/>
      <c r="AIP11" s="197"/>
      <c r="AIQ11" s="197"/>
      <c r="AIR11" s="197"/>
      <c r="AIS11" s="197"/>
      <c r="AIT11" s="197"/>
      <c r="AIU11" s="197"/>
      <c r="AIV11" s="197"/>
      <c r="AIW11" s="197"/>
      <c r="AIX11" s="197"/>
      <c r="AIY11" s="197"/>
      <c r="AIZ11" s="197"/>
      <c r="AJA11" s="197"/>
      <c r="AJB11" s="197"/>
      <c r="AJC11" s="197"/>
      <c r="AJD11" s="197"/>
      <c r="AJE11" s="197"/>
      <c r="AJF11" s="197"/>
      <c r="AJG11" s="197"/>
      <c r="AJH11" s="197"/>
      <c r="AJI11" s="197"/>
      <c r="AJJ11" s="197"/>
      <c r="AJK11" s="197"/>
      <c r="AJL11" s="197"/>
      <c r="AJM11" s="197"/>
      <c r="AJN11" s="197"/>
      <c r="AJO11" s="197"/>
      <c r="AJP11" s="197"/>
      <c r="AJQ11" s="197"/>
      <c r="AJR11" s="197"/>
      <c r="AJS11" s="197"/>
      <c r="AJT11" s="197"/>
      <c r="AJU11" s="197"/>
      <c r="AJV11" s="197"/>
      <c r="AJW11" s="197"/>
      <c r="AJX11" s="197"/>
      <c r="AJY11" s="197"/>
      <c r="AJZ11" s="197"/>
      <c r="AKA11" s="197"/>
      <c r="AKB11" s="197"/>
      <c r="AKC11" s="197"/>
      <c r="AKD11" s="197" t="s">
        <v>94</v>
      </c>
      <c r="AKE11" s="197"/>
      <c r="AKF11" s="197"/>
      <c r="AKG11" s="197"/>
      <c r="AKH11" s="197"/>
      <c r="AKI11" s="197"/>
      <c r="AKJ11" s="197"/>
      <c r="AKK11" s="197"/>
      <c r="AKL11" s="197"/>
      <c r="AKM11" s="197"/>
      <c r="AKN11" s="197"/>
      <c r="AKO11" s="197"/>
      <c r="AKP11" s="197"/>
      <c r="AKQ11" s="197"/>
      <c r="AKR11" s="197"/>
      <c r="AKS11" s="197"/>
      <c r="AKT11" s="197"/>
      <c r="AKU11" s="197"/>
      <c r="AKV11" s="197"/>
      <c r="AKW11" s="197"/>
      <c r="AKX11" s="197"/>
      <c r="AKY11" s="197"/>
      <c r="AKZ11" s="197"/>
      <c r="ALA11" s="197"/>
      <c r="ALB11" s="197"/>
      <c r="ALC11" s="197"/>
      <c r="ALD11" s="197"/>
      <c r="ALE11" s="197"/>
      <c r="ALF11" s="197"/>
      <c r="ALG11" s="197"/>
      <c r="ALH11" s="197"/>
      <c r="ALI11" s="197"/>
      <c r="ALJ11" s="197"/>
      <c r="ALK11" s="197"/>
      <c r="ALL11" s="197"/>
      <c r="ALM11" s="197"/>
      <c r="ALN11" s="197"/>
      <c r="ALO11" s="197"/>
      <c r="ALP11" s="197"/>
      <c r="ALQ11" s="197"/>
      <c r="ALR11" s="197"/>
      <c r="ALS11" s="197"/>
      <c r="ALT11" s="197"/>
      <c r="ALU11" s="197"/>
      <c r="ALV11" s="197"/>
      <c r="ALW11" s="197"/>
      <c r="ALX11" s="197"/>
      <c r="ALY11" s="197"/>
      <c r="ALZ11" s="197"/>
      <c r="AMA11" s="197"/>
      <c r="AMB11" s="197"/>
      <c r="AMC11" s="197"/>
      <c r="AMD11" s="197"/>
      <c r="AME11" s="197"/>
      <c r="AMF11" s="197"/>
      <c r="AMG11" s="197"/>
      <c r="AMH11" s="197"/>
      <c r="AMI11" s="197"/>
      <c r="AMJ11" s="197"/>
      <c r="AMK11" s="197"/>
      <c r="AML11" s="197" t="s">
        <v>94</v>
      </c>
      <c r="AMM11" s="197"/>
      <c r="AMN11" s="197"/>
      <c r="AMO11" s="197"/>
      <c r="AMP11" s="197"/>
      <c r="AMQ11" s="197"/>
      <c r="AMR11" s="197"/>
      <c r="AMS11" s="197"/>
      <c r="AMT11" s="197"/>
      <c r="AMU11" s="197"/>
      <c r="AMV11" s="197"/>
      <c r="AMW11" s="197"/>
      <c r="AMX11" s="197"/>
      <c r="AMY11" s="197"/>
      <c r="AMZ11" s="197"/>
      <c r="ANA11" s="197"/>
      <c r="ANB11" s="197"/>
      <c r="ANC11" s="197"/>
      <c r="AND11" s="197"/>
      <c r="ANE11" s="197"/>
      <c r="ANF11" s="197"/>
      <c r="ANG11" s="197"/>
      <c r="ANH11" s="197"/>
      <c r="ANI11" s="197"/>
      <c r="ANJ11" s="197"/>
      <c r="ANK11" s="197"/>
      <c r="ANL11" s="197"/>
      <c r="ANM11" s="197"/>
      <c r="ANN11" s="197"/>
      <c r="ANO11" s="197"/>
      <c r="ANP11" s="197"/>
      <c r="ANQ11" s="197"/>
      <c r="ANR11" s="197"/>
      <c r="ANS11" s="197"/>
      <c r="ANT11" s="197"/>
      <c r="ANU11" s="197"/>
      <c r="ANV11" s="197"/>
      <c r="ANW11" s="197"/>
      <c r="ANX11" s="197"/>
      <c r="ANY11" s="197"/>
      <c r="ANZ11" s="197"/>
      <c r="AOA11" s="197"/>
      <c r="AOB11" s="197"/>
      <c r="AOC11" s="197"/>
      <c r="AOD11" s="197"/>
      <c r="AOE11" s="197"/>
      <c r="AOF11" s="197"/>
      <c r="AOG11" s="197"/>
      <c r="AOH11" s="197"/>
      <c r="AOI11" s="197"/>
      <c r="AOJ11" s="197"/>
      <c r="AOK11" s="197"/>
      <c r="AOL11" s="197"/>
      <c r="AOM11" s="197"/>
      <c r="AON11" s="197"/>
      <c r="AOO11" s="197"/>
      <c r="AOP11" s="197"/>
      <c r="AOQ11" s="197"/>
      <c r="AOR11" s="197"/>
      <c r="AOS11" s="197"/>
      <c r="AOT11" s="197" t="s">
        <v>91</v>
      </c>
      <c r="AOU11" s="197"/>
      <c r="AOV11" s="197"/>
      <c r="AOW11" s="197"/>
      <c r="AOX11" s="197"/>
      <c r="AOY11" s="197"/>
      <c r="AOZ11" s="197"/>
      <c r="APA11" s="197"/>
      <c r="APB11" s="197"/>
      <c r="APC11" s="197"/>
      <c r="APD11" s="197"/>
      <c r="APE11" s="197"/>
      <c r="APF11" s="197"/>
      <c r="APG11" s="197"/>
      <c r="APH11" s="197"/>
      <c r="API11" s="197"/>
      <c r="APJ11" s="197"/>
      <c r="APK11" s="197"/>
      <c r="APL11" s="197"/>
      <c r="APM11" s="197"/>
      <c r="APN11" s="197"/>
      <c r="APO11" s="197"/>
      <c r="APP11" s="197"/>
      <c r="APQ11" s="197"/>
      <c r="APR11" s="197"/>
      <c r="APS11" s="197"/>
      <c r="APT11" s="197"/>
      <c r="APU11" s="197"/>
      <c r="APV11" s="197"/>
      <c r="APW11" s="197"/>
      <c r="APX11" s="197"/>
      <c r="APY11" s="197"/>
      <c r="APZ11" s="197"/>
      <c r="AQA11" s="197"/>
      <c r="AQB11" s="197"/>
      <c r="AQC11" s="197"/>
      <c r="AQD11" s="197"/>
      <c r="AQE11" s="197"/>
      <c r="AQF11" s="197"/>
      <c r="AQG11" s="197"/>
      <c r="AQH11" s="197"/>
      <c r="AQI11" s="197"/>
      <c r="AQJ11" s="197"/>
      <c r="AQK11" s="197"/>
      <c r="AQL11" s="197"/>
      <c r="AQM11" s="197"/>
      <c r="AQN11" s="197"/>
      <c r="AQO11" s="197"/>
      <c r="AQP11" s="197"/>
      <c r="AQQ11" s="197"/>
      <c r="AQR11" s="197"/>
      <c r="AQS11" s="197"/>
      <c r="AQT11" s="197"/>
      <c r="AQU11" s="197"/>
      <c r="AQV11" s="197"/>
      <c r="AQW11" s="197"/>
      <c r="AQX11" s="197"/>
      <c r="AQY11" s="197"/>
      <c r="AQZ11" s="197"/>
      <c r="ARA11" s="197"/>
      <c r="ARB11" s="197" t="s">
        <v>91</v>
      </c>
      <c r="ARC11" s="197"/>
      <c r="ARD11" s="197"/>
      <c r="ARE11" s="197"/>
      <c r="ARF11" s="197"/>
      <c r="ARG11" s="197"/>
      <c r="ARH11" s="197"/>
      <c r="ARI11" s="197"/>
      <c r="ARJ11" s="197"/>
      <c r="ARK11" s="197"/>
      <c r="ARL11" s="197"/>
      <c r="ARM11" s="197"/>
      <c r="ARN11" s="197"/>
      <c r="ARO11" s="197"/>
      <c r="ARP11" s="197"/>
      <c r="ARQ11" s="197"/>
      <c r="ARR11" s="197"/>
      <c r="ARS11" s="197"/>
      <c r="ART11" s="197"/>
      <c r="ARU11" s="197"/>
      <c r="ARV11" s="197"/>
      <c r="ARW11" s="197"/>
      <c r="ARX11" s="197"/>
      <c r="ARY11" s="197"/>
      <c r="ARZ11" s="197"/>
      <c r="ASA11" s="197"/>
      <c r="ASB11" s="197"/>
      <c r="ASC11" s="197"/>
      <c r="ASD11" s="197"/>
      <c r="ASE11" s="197"/>
      <c r="ASF11" s="197"/>
      <c r="ASG11" s="197"/>
      <c r="ASH11" s="197"/>
      <c r="ASI11" s="197"/>
      <c r="ASJ11" s="197"/>
      <c r="ASK11" s="197"/>
      <c r="ASL11" s="197"/>
      <c r="ASM11" s="197"/>
      <c r="ASN11" s="197"/>
      <c r="ASO11" s="197"/>
      <c r="ASP11" s="197"/>
      <c r="ASQ11" s="197"/>
      <c r="ASR11" s="197"/>
      <c r="ASS11" s="197"/>
      <c r="AST11" s="197"/>
      <c r="ASU11" s="197"/>
      <c r="ASV11" s="197"/>
      <c r="ASW11" s="197"/>
      <c r="ASX11" s="197"/>
      <c r="ASY11" s="197"/>
      <c r="ASZ11" s="197"/>
      <c r="ATA11" s="197"/>
      <c r="ATB11" s="197"/>
      <c r="ATC11" s="197"/>
      <c r="ATD11" s="197"/>
      <c r="ATE11" s="197"/>
      <c r="ATF11" s="197"/>
      <c r="ATG11" s="197"/>
      <c r="ATH11" s="197"/>
      <c r="ATI11" s="197"/>
      <c r="ATJ11" s="197" t="s">
        <v>88</v>
      </c>
      <c r="ATK11" s="197"/>
      <c r="ATL11" s="197"/>
      <c r="ATM11" s="197"/>
      <c r="ATN11" s="197"/>
      <c r="ATO11" s="197"/>
      <c r="ATP11" s="197"/>
      <c r="ATQ11" s="197"/>
      <c r="ATR11" s="197"/>
      <c r="ATS11" s="197"/>
      <c r="ATT11" s="197"/>
      <c r="ATU11" s="197"/>
      <c r="ATV11" s="197"/>
      <c r="ATW11" s="197"/>
      <c r="ATX11" s="197"/>
      <c r="ATY11" s="197"/>
      <c r="ATZ11" s="197"/>
      <c r="AUA11" s="197"/>
      <c r="AUB11" s="197"/>
      <c r="AUC11" s="197"/>
      <c r="AUD11" s="197"/>
      <c r="AUE11" s="197"/>
      <c r="AUF11" s="197"/>
      <c r="AUG11" s="197"/>
      <c r="AUH11" s="197"/>
      <c r="AUI11" s="197"/>
      <c r="AUJ11" s="197"/>
      <c r="AUK11" s="197"/>
      <c r="AUL11" s="197"/>
      <c r="AUM11" s="197"/>
      <c r="AUN11" s="197"/>
      <c r="AUO11" s="197"/>
      <c r="AUP11" s="197"/>
      <c r="AUQ11" s="197"/>
      <c r="AUR11" s="197"/>
      <c r="AUS11" s="197"/>
      <c r="AUT11" s="197"/>
      <c r="AUU11" s="197"/>
      <c r="AUV11" s="197"/>
      <c r="AUW11" s="197"/>
      <c r="AUX11" s="197"/>
      <c r="AUY11" s="197"/>
      <c r="AUZ11" s="197"/>
      <c r="AVA11" s="197"/>
      <c r="AVB11" s="197"/>
      <c r="AVC11" s="197"/>
      <c r="AVD11" s="197"/>
      <c r="AVE11" s="197"/>
      <c r="AVF11" s="197"/>
      <c r="AVG11" s="197"/>
      <c r="AVH11" s="197"/>
      <c r="AVI11" s="197"/>
      <c r="AVJ11" s="197"/>
      <c r="AVK11" s="197"/>
      <c r="AVL11" s="197"/>
      <c r="AVM11" s="197"/>
      <c r="AVN11" s="197"/>
      <c r="AVO11" s="197"/>
      <c r="AVP11" s="197"/>
      <c r="AVQ11" s="197"/>
      <c r="AVR11" s="197" t="s">
        <v>88</v>
      </c>
      <c r="AVS11" s="197"/>
      <c r="AVT11" s="197"/>
      <c r="AVU11" s="197"/>
      <c r="AVV11" s="197"/>
      <c r="AVW11" s="197"/>
      <c r="AVX11" s="197"/>
      <c r="AVY11" s="197"/>
      <c r="AVZ11" s="197"/>
      <c r="AWA11" s="197"/>
      <c r="AWB11" s="197"/>
      <c r="AWC11" s="197"/>
      <c r="AWD11" s="197"/>
      <c r="AWE11" s="197"/>
      <c r="AWF11" s="197"/>
      <c r="AWG11" s="197"/>
      <c r="AWH11" s="197"/>
      <c r="AWI11" s="197"/>
      <c r="AWJ11" s="197"/>
      <c r="AWK11" s="197"/>
      <c r="AWL11" s="197"/>
      <c r="AWM11" s="197"/>
      <c r="AWN11" s="197"/>
      <c r="AWO11" s="197"/>
      <c r="AWP11" s="197"/>
      <c r="AWQ11" s="197"/>
      <c r="AWR11" s="197"/>
      <c r="AWS11" s="197"/>
      <c r="AWT11" s="197"/>
      <c r="AWU11" s="197"/>
      <c r="AWV11" s="197"/>
      <c r="AWW11" s="197"/>
      <c r="AWX11" s="197"/>
      <c r="AWY11" s="197"/>
      <c r="AWZ11" s="197"/>
      <c r="AXA11" s="197"/>
      <c r="AXB11" s="197"/>
      <c r="AXC11" s="197"/>
      <c r="AXD11" s="197"/>
      <c r="AXE11" s="197"/>
      <c r="AXF11" s="197"/>
      <c r="AXG11" s="197"/>
      <c r="AXH11" s="197"/>
      <c r="AXI11" s="197"/>
      <c r="AXJ11" s="197"/>
      <c r="AXK11" s="197"/>
      <c r="AXL11" s="197"/>
      <c r="AXM11" s="197"/>
      <c r="AXN11" s="197"/>
      <c r="AXO11" s="197"/>
      <c r="AXP11" s="197"/>
      <c r="AXQ11" s="197"/>
      <c r="AXR11" s="197"/>
      <c r="AXS11" s="197"/>
      <c r="AXT11" s="197"/>
      <c r="AXU11" s="197"/>
      <c r="AXV11" s="197"/>
      <c r="AXW11" s="197"/>
      <c r="AXX11" s="197"/>
      <c r="AXY11" s="197"/>
      <c r="AXZ11" s="197" t="s">
        <v>85</v>
      </c>
      <c r="AYA11" s="197"/>
      <c r="AYB11" s="197"/>
      <c r="AYC11" s="197"/>
      <c r="AYD11" s="197"/>
      <c r="AYE11" s="197"/>
      <c r="AYF11" s="197"/>
      <c r="AYG11" s="197"/>
      <c r="AYH11" s="197"/>
      <c r="AYI11" s="197"/>
      <c r="AYJ11" s="197"/>
      <c r="AYK11" s="197"/>
      <c r="AYL11" s="197"/>
      <c r="AYM11" s="197"/>
      <c r="AYN11" s="197"/>
      <c r="AYO11" s="197"/>
      <c r="AYP11" s="197"/>
      <c r="AYQ11" s="197"/>
      <c r="AYR11" s="197"/>
      <c r="AYS11" s="197"/>
      <c r="AYT11" s="197"/>
      <c r="AYU11" s="197"/>
      <c r="AYV11" s="197"/>
      <c r="AYW11" s="197"/>
      <c r="AYX11" s="197"/>
      <c r="AYY11" s="197"/>
      <c r="AYZ11" s="197"/>
      <c r="AZA11" s="197"/>
      <c r="AZB11" s="197"/>
      <c r="AZC11" s="197"/>
      <c r="AZD11" s="197"/>
      <c r="AZE11" s="197"/>
      <c r="AZF11" s="197"/>
      <c r="AZG11" s="197"/>
      <c r="AZH11" s="197"/>
      <c r="AZI11" s="197"/>
      <c r="AZJ11" s="197"/>
      <c r="AZK11" s="197"/>
      <c r="AZL11" s="197"/>
      <c r="AZM11" s="197"/>
      <c r="AZN11" s="197"/>
      <c r="AZO11" s="197"/>
      <c r="AZP11" s="197"/>
      <c r="AZQ11" s="197"/>
      <c r="AZR11" s="197"/>
      <c r="AZS11" s="197"/>
      <c r="AZT11" s="197"/>
      <c r="AZU11" s="197"/>
      <c r="AZV11" s="197"/>
      <c r="AZW11" s="197"/>
      <c r="AZX11" s="197"/>
      <c r="AZY11" s="197"/>
      <c r="AZZ11" s="197"/>
      <c r="BAA11" s="197"/>
      <c r="BAB11" s="197"/>
      <c r="BAC11" s="197"/>
      <c r="BAD11" s="197"/>
      <c r="BAE11" s="197"/>
      <c r="BAF11" s="197"/>
      <c r="BAG11" s="197"/>
      <c r="BAH11" s="197" t="s">
        <v>85</v>
      </c>
      <c r="BAI11" s="197"/>
      <c r="BAJ11" s="197"/>
      <c r="BAK11" s="197"/>
      <c r="BAL11" s="197"/>
      <c r="BAM11" s="197"/>
      <c r="BAN11" s="197"/>
      <c r="BAO11" s="197"/>
      <c r="BAP11" s="197"/>
      <c r="BAQ11" s="197"/>
      <c r="BAR11" s="197"/>
      <c r="BAS11" s="197"/>
      <c r="BAT11" s="197"/>
      <c r="BAU11" s="197"/>
      <c r="BAV11" s="197"/>
      <c r="BAW11" s="197"/>
      <c r="BAX11" s="197"/>
      <c r="BAY11" s="197"/>
      <c r="BAZ11" s="197"/>
      <c r="BBA11" s="197"/>
      <c r="BBB11" s="197"/>
      <c r="BBC11" s="197"/>
      <c r="BBD11" s="197"/>
      <c r="BBE11" s="197"/>
      <c r="BBF11" s="197"/>
      <c r="BBG11" s="197"/>
      <c r="BBH11" s="197"/>
      <c r="BBI11" s="197"/>
      <c r="BBJ11" s="197"/>
      <c r="BBK11" s="197"/>
      <c r="BBL11" s="197"/>
      <c r="BBM11" s="197"/>
      <c r="BBN11" s="197"/>
      <c r="BBO11" s="197"/>
      <c r="BBP11" s="197"/>
      <c r="BBQ11" s="197"/>
      <c r="BBR11" s="197"/>
      <c r="BBS11" s="197"/>
      <c r="BBT11" s="197"/>
      <c r="BBU11" s="197"/>
      <c r="BBV11" s="197"/>
      <c r="BBW11" s="197"/>
      <c r="BBX11" s="197"/>
      <c r="BBY11" s="197"/>
      <c r="BBZ11" s="197"/>
      <c r="BCA11" s="197"/>
      <c r="BCB11" s="197"/>
      <c r="BCC11" s="197"/>
      <c r="BCD11" s="197"/>
      <c r="BCE11" s="197"/>
      <c r="BCF11" s="197"/>
      <c r="BCG11" s="197"/>
      <c r="BCH11" s="197"/>
      <c r="BCI11" s="197"/>
      <c r="BCJ11" s="197"/>
      <c r="BCK11" s="197"/>
      <c r="BCL11" s="197"/>
      <c r="BCM11" s="197"/>
      <c r="BCN11" s="197"/>
      <c r="BCO11" s="197"/>
      <c r="BCP11" s="197" t="s">
        <v>82</v>
      </c>
      <c r="BCQ11" s="197"/>
      <c r="BCR11" s="197"/>
      <c r="BCS11" s="197"/>
      <c r="BCT11" s="197"/>
      <c r="BCU11" s="197"/>
      <c r="BCV11" s="197"/>
      <c r="BCW11" s="197"/>
      <c r="BCX11" s="197"/>
      <c r="BCY11" s="197"/>
      <c r="BCZ11" s="197"/>
      <c r="BDA11" s="197"/>
      <c r="BDB11" s="197"/>
      <c r="BDC11" s="197"/>
      <c r="BDD11" s="197"/>
      <c r="BDE11" s="197"/>
      <c r="BDF11" s="197"/>
      <c r="BDG11" s="197"/>
      <c r="BDH11" s="197"/>
      <c r="BDI11" s="197"/>
      <c r="BDJ11" s="197"/>
      <c r="BDK11" s="197"/>
      <c r="BDL11" s="197"/>
      <c r="BDM11" s="197"/>
      <c r="BDN11" s="197"/>
      <c r="BDO11" s="197"/>
      <c r="BDP11" s="197"/>
      <c r="BDQ11" s="197"/>
      <c r="BDR11" s="197"/>
      <c r="BDS11" s="197"/>
      <c r="BDT11" s="197"/>
      <c r="BDU11" s="197"/>
      <c r="BDV11" s="197"/>
      <c r="BDW11" s="197"/>
      <c r="BDX11" s="197"/>
      <c r="BDY11" s="197"/>
      <c r="BDZ11" s="197"/>
      <c r="BEA11" s="197"/>
      <c r="BEB11" s="197"/>
      <c r="BEC11" s="197"/>
      <c r="BED11" s="197"/>
      <c r="BEE11" s="197"/>
      <c r="BEF11" s="197"/>
      <c r="BEG11" s="197"/>
      <c r="BEH11" s="197"/>
      <c r="BEI11" s="197"/>
      <c r="BEJ11" s="197"/>
      <c r="BEK11" s="197"/>
      <c r="BEL11" s="197"/>
      <c r="BEM11" s="197"/>
      <c r="BEN11" s="197"/>
      <c r="BEO11" s="197"/>
      <c r="BEP11" s="197"/>
      <c r="BEQ11" s="197"/>
      <c r="BER11" s="197"/>
      <c r="BES11" s="197"/>
      <c r="BET11" s="197"/>
      <c r="BEU11" s="197"/>
      <c r="BEV11" s="197"/>
      <c r="BEW11" s="197"/>
      <c r="BEX11" s="197" t="s">
        <v>82</v>
      </c>
      <c r="BEY11" s="197"/>
      <c r="BEZ11" s="197"/>
      <c r="BFA11" s="197"/>
      <c r="BFB11" s="197"/>
      <c r="BFC11" s="197"/>
      <c r="BFD11" s="197"/>
      <c r="BFE11" s="197"/>
      <c r="BFF11" s="197"/>
      <c r="BFG11" s="197"/>
      <c r="BFH11" s="197"/>
      <c r="BFI11" s="197"/>
      <c r="BFJ11" s="197"/>
      <c r="BFK11" s="197"/>
      <c r="BFL11" s="197"/>
      <c r="BFM11" s="197"/>
      <c r="BFN11" s="197"/>
      <c r="BFO11" s="197"/>
      <c r="BFP11" s="197"/>
      <c r="BFQ11" s="197"/>
      <c r="BFR11" s="197"/>
      <c r="BFS11" s="197"/>
      <c r="BFT11" s="197"/>
      <c r="BFU11" s="197"/>
      <c r="BFV11" s="197"/>
      <c r="BFW11" s="197"/>
      <c r="BFX11" s="197"/>
      <c r="BFY11" s="197"/>
      <c r="BFZ11" s="197"/>
      <c r="BGA11" s="197"/>
      <c r="BGB11" s="197"/>
      <c r="BGC11" s="197"/>
      <c r="BGD11" s="197"/>
      <c r="BGE11" s="197"/>
      <c r="BGF11" s="197"/>
      <c r="BGG11" s="197"/>
      <c r="BGH11" s="197"/>
      <c r="BGI11" s="197"/>
      <c r="BGJ11" s="197"/>
      <c r="BGK11" s="197"/>
      <c r="BGL11" s="197"/>
      <c r="BGM11" s="197"/>
      <c r="BGN11" s="197"/>
      <c r="BGO11" s="197"/>
      <c r="BGP11" s="197"/>
      <c r="BGQ11" s="197"/>
      <c r="BGR11" s="197"/>
      <c r="BGS11" s="197"/>
      <c r="BGT11" s="197"/>
      <c r="BGU11" s="197"/>
      <c r="BGV11" s="197"/>
      <c r="BGW11" s="197"/>
      <c r="BGX11" s="197"/>
      <c r="BGY11" s="197"/>
      <c r="BGZ11" s="197"/>
      <c r="BHA11" s="197"/>
      <c r="BHB11" s="197"/>
      <c r="BHC11" s="197"/>
      <c r="BHD11" s="197"/>
      <c r="BHE11" s="197"/>
      <c r="BHF11" s="197" t="s">
        <v>80</v>
      </c>
      <c r="BHG11" s="197"/>
      <c r="BHH11" s="197"/>
      <c r="BHI11" s="197"/>
      <c r="BHJ11" s="197"/>
      <c r="BHK11" s="197"/>
      <c r="BHL11" s="197"/>
      <c r="BHM11" s="197"/>
      <c r="BHN11" s="197"/>
      <c r="BHO11" s="197"/>
      <c r="BHP11" s="197"/>
      <c r="BHQ11" s="197"/>
      <c r="BHR11" s="197"/>
      <c r="BHS11" s="197"/>
      <c r="BHT11" s="197"/>
      <c r="BHU11" s="197"/>
      <c r="BHV11" s="197"/>
      <c r="BHW11" s="197"/>
      <c r="BHX11" s="197"/>
      <c r="BHY11" s="197"/>
      <c r="BHZ11" s="197"/>
      <c r="BIA11" s="197"/>
      <c r="BIB11" s="197"/>
      <c r="BIC11" s="197"/>
      <c r="BID11" s="197"/>
      <c r="BIE11" s="197"/>
      <c r="BIF11" s="197"/>
      <c r="BIG11" s="197"/>
      <c r="BIH11" s="197"/>
      <c r="BII11" s="197"/>
      <c r="BIJ11" s="197"/>
      <c r="BIK11" s="197"/>
      <c r="BIL11" s="197"/>
      <c r="BIM11" s="197"/>
      <c r="BIN11" s="197"/>
      <c r="BIO11" s="197"/>
      <c r="BIP11" s="197"/>
      <c r="BIQ11" s="197"/>
      <c r="BIR11" s="197"/>
      <c r="BIS11" s="197"/>
      <c r="BIT11" s="197"/>
      <c r="BIU11" s="197"/>
      <c r="BIV11" s="197"/>
      <c r="BIW11" s="197"/>
      <c r="BIX11" s="197"/>
      <c r="BIY11" s="197"/>
      <c r="BIZ11" s="197"/>
      <c r="BJA11" s="197"/>
      <c r="BJB11" s="197"/>
      <c r="BJC11" s="197"/>
      <c r="BJD11" s="197"/>
      <c r="BJE11" s="197"/>
      <c r="BJF11" s="197"/>
      <c r="BJG11" s="197"/>
      <c r="BJH11" s="197"/>
      <c r="BJI11" s="197"/>
      <c r="BJJ11" s="197"/>
      <c r="BJK11" s="197"/>
      <c r="BJL11" s="197"/>
      <c r="BJM11" s="197"/>
      <c r="BJN11" s="73"/>
    </row>
    <row r="12" spans="1:1626" ht="49.5" customHeight="1" thickBot="1" x14ac:dyDescent="0.3">
      <c r="B12" s="143"/>
      <c r="C12" s="202"/>
      <c r="D12" s="202"/>
      <c r="E12" s="202"/>
      <c r="F12" s="196" t="s">
        <v>77</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76</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04" t="s">
        <v>77</v>
      </c>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c r="GC12" s="204"/>
      <c r="GD12" s="205" t="s">
        <v>76</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77</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76</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77</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76</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77</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76</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77</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76</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77</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76</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77</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76</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77</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76</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t="s">
        <v>77</v>
      </c>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t="s">
        <v>76</v>
      </c>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t="s">
        <v>77</v>
      </c>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t="s">
        <v>76</v>
      </c>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t="s">
        <v>77</v>
      </c>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t="s">
        <v>76</v>
      </c>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t="s">
        <v>77</v>
      </c>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t="s">
        <v>76</v>
      </c>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t="s">
        <v>75</v>
      </c>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73"/>
    </row>
    <row r="13" spans="1:1626" ht="42.75" customHeight="1" thickBot="1" x14ac:dyDescent="0.3">
      <c r="B13" s="51"/>
      <c r="C13" s="194" t="s">
        <v>12</v>
      </c>
      <c r="D13" s="117"/>
      <c r="E13" s="192" t="s">
        <v>13</v>
      </c>
      <c r="F13" s="198" t="s">
        <v>14</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15</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16</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114</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113</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111</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110</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108</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107</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105</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104</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102</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101</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99</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98</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96</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95</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93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92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90</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89</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87</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86</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84</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83</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81</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79</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73"/>
    </row>
    <row r="14" spans="1:1626" ht="12.75" customHeight="1" thickBot="1" x14ac:dyDescent="0.35">
      <c r="B14" s="51"/>
      <c r="C14" s="195"/>
      <c r="D14" s="118"/>
      <c r="E14" s="193"/>
      <c r="F14" s="81"/>
      <c r="G14" s="82"/>
      <c r="H14" s="82"/>
      <c r="I14" s="82"/>
      <c r="J14" s="182" t="s">
        <v>17</v>
      </c>
      <c r="K14" s="182"/>
      <c r="L14" s="182"/>
      <c r="M14" s="182"/>
      <c r="N14" s="82"/>
      <c r="O14" s="82"/>
      <c r="P14" s="183" t="s">
        <v>18</v>
      </c>
      <c r="Q14" s="183"/>
      <c r="R14" s="183"/>
      <c r="S14" s="183"/>
      <c r="T14" s="102"/>
      <c r="U14" s="102"/>
      <c r="V14" s="182" t="s">
        <v>19</v>
      </c>
      <c r="W14" s="182"/>
      <c r="X14" s="182"/>
      <c r="Y14" s="182"/>
      <c r="Z14" s="82"/>
      <c r="AA14" s="82"/>
      <c r="AB14" s="183" t="s">
        <v>20</v>
      </c>
      <c r="AC14" s="183"/>
      <c r="AD14" s="183"/>
      <c r="AE14" s="183"/>
      <c r="AF14" s="102"/>
      <c r="AG14" s="102"/>
      <c r="AH14" s="182" t="s">
        <v>21</v>
      </c>
      <c r="AI14" s="182"/>
      <c r="AJ14" s="182"/>
      <c r="AK14" s="182"/>
      <c r="AL14" s="82"/>
      <c r="AM14" s="82"/>
      <c r="AN14" s="183" t="s">
        <v>22</v>
      </c>
      <c r="AO14" s="183"/>
      <c r="AP14" s="183"/>
      <c r="AQ14" s="183"/>
      <c r="AR14" s="102"/>
      <c r="AS14" s="102"/>
      <c r="AT14" s="182" t="s">
        <v>23</v>
      </c>
      <c r="AU14" s="182"/>
      <c r="AV14" s="182"/>
      <c r="AW14" s="182"/>
      <c r="AX14" s="82"/>
      <c r="AY14" s="82"/>
      <c r="AZ14" s="183" t="s">
        <v>24</v>
      </c>
      <c r="BA14" s="183"/>
      <c r="BB14" s="183"/>
      <c r="BC14" s="183"/>
      <c r="BD14" s="102"/>
      <c r="BE14" s="102"/>
      <c r="BF14" s="182" t="s">
        <v>25</v>
      </c>
      <c r="BG14" s="182"/>
      <c r="BH14" s="182"/>
      <c r="BI14" s="182"/>
      <c r="BJ14" s="82"/>
      <c r="BK14" s="82"/>
      <c r="BL14" s="82"/>
      <c r="BM14" s="83"/>
      <c r="BN14" s="81"/>
      <c r="BO14" s="82"/>
      <c r="BP14" s="82"/>
      <c r="BQ14" s="82"/>
      <c r="BR14" s="182" t="s">
        <v>17</v>
      </c>
      <c r="BS14" s="182"/>
      <c r="BT14" s="182"/>
      <c r="BU14" s="182"/>
      <c r="BV14" s="82"/>
      <c r="BW14" s="82"/>
      <c r="BX14" s="183" t="s">
        <v>18</v>
      </c>
      <c r="BY14" s="183"/>
      <c r="BZ14" s="183"/>
      <c r="CA14" s="183"/>
      <c r="CB14" s="102"/>
      <c r="CC14" s="102"/>
      <c r="CD14" s="182" t="s">
        <v>19</v>
      </c>
      <c r="CE14" s="182"/>
      <c r="CF14" s="182"/>
      <c r="CG14" s="182"/>
      <c r="CH14" s="82"/>
      <c r="CI14" s="82"/>
      <c r="CJ14" s="183" t="s">
        <v>20</v>
      </c>
      <c r="CK14" s="183"/>
      <c r="CL14" s="183"/>
      <c r="CM14" s="183"/>
      <c r="CN14" s="102"/>
      <c r="CO14" s="102"/>
      <c r="CP14" s="182" t="s">
        <v>21</v>
      </c>
      <c r="CQ14" s="182"/>
      <c r="CR14" s="182"/>
      <c r="CS14" s="182"/>
      <c r="CT14" s="82"/>
      <c r="CU14" s="82"/>
      <c r="CV14" s="183" t="s">
        <v>22</v>
      </c>
      <c r="CW14" s="183"/>
      <c r="CX14" s="183"/>
      <c r="CY14" s="183"/>
      <c r="CZ14" s="102"/>
      <c r="DA14" s="102"/>
      <c r="DB14" s="182" t="s">
        <v>23</v>
      </c>
      <c r="DC14" s="182"/>
      <c r="DD14" s="182"/>
      <c r="DE14" s="182"/>
      <c r="DF14" s="82"/>
      <c r="DG14" s="82"/>
      <c r="DH14" s="183" t="s">
        <v>24</v>
      </c>
      <c r="DI14" s="183"/>
      <c r="DJ14" s="183"/>
      <c r="DK14" s="183"/>
      <c r="DL14" s="102"/>
      <c r="DM14" s="102"/>
      <c r="DN14" s="182" t="s">
        <v>25</v>
      </c>
      <c r="DO14" s="182"/>
      <c r="DP14" s="182"/>
      <c r="DQ14" s="182"/>
      <c r="DR14" s="82"/>
      <c r="DS14" s="82"/>
      <c r="DT14" s="82"/>
      <c r="DU14" s="83"/>
      <c r="DV14" s="81"/>
      <c r="DW14" s="82"/>
      <c r="DX14" s="82"/>
      <c r="DY14" s="82"/>
      <c r="DZ14" s="182" t="s">
        <v>17</v>
      </c>
      <c r="EA14" s="182"/>
      <c r="EB14" s="182"/>
      <c r="EC14" s="182"/>
      <c r="ED14" s="82"/>
      <c r="EE14" s="82"/>
      <c r="EF14" s="183" t="s">
        <v>18</v>
      </c>
      <c r="EG14" s="183"/>
      <c r="EH14" s="183"/>
      <c r="EI14" s="183"/>
      <c r="EJ14" s="102"/>
      <c r="EK14" s="102"/>
      <c r="EL14" s="182" t="s">
        <v>19</v>
      </c>
      <c r="EM14" s="182"/>
      <c r="EN14" s="182"/>
      <c r="EO14" s="182"/>
      <c r="EP14" s="82"/>
      <c r="EQ14" s="82"/>
      <c r="ER14" s="183" t="s">
        <v>20</v>
      </c>
      <c r="ES14" s="183"/>
      <c r="ET14" s="183"/>
      <c r="EU14" s="183"/>
      <c r="EV14" s="102"/>
      <c r="EW14" s="102"/>
      <c r="EX14" s="182" t="s">
        <v>21</v>
      </c>
      <c r="EY14" s="182"/>
      <c r="EZ14" s="182"/>
      <c r="FA14" s="182"/>
      <c r="FB14" s="82"/>
      <c r="FC14" s="82"/>
      <c r="FD14" s="183" t="s">
        <v>22</v>
      </c>
      <c r="FE14" s="183"/>
      <c r="FF14" s="183"/>
      <c r="FG14" s="183"/>
      <c r="FH14" s="102"/>
      <c r="FI14" s="102"/>
      <c r="FJ14" s="182" t="s">
        <v>23</v>
      </c>
      <c r="FK14" s="182"/>
      <c r="FL14" s="182"/>
      <c r="FM14" s="182"/>
      <c r="FN14" s="82"/>
      <c r="FO14" s="82"/>
      <c r="FP14" s="183" t="s">
        <v>24</v>
      </c>
      <c r="FQ14" s="183"/>
      <c r="FR14" s="183"/>
      <c r="FS14" s="183"/>
      <c r="FT14" s="102"/>
      <c r="FU14" s="102"/>
      <c r="FV14" s="182" t="s">
        <v>25</v>
      </c>
      <c r="FW14" s="182"/>
      <c r="FX14" s="182"/>
      <c r="FY14" s="182"/>
      <c r="FZ14" s="82"/>
      <c r="GA14" s="82"/>
      <c r="GB14" s="82"/>
      <c r="GC14" s="83"/>
      <c r="GD14" s="81"/>
      <c r="GE14" s="82"/>
      <c r="GF14" s="82"/>
      <c r="GG14" s="82"/>
      <c r="GH14" s="182" t="s">
        <v>17</v>
      </c>
      <c r="GI14" s="182"/>
      <c r="GJ14" s="182"/>
      <c r="GK14" s="182"/>
      <c r="GL14" s="82"/>
      <c r="GM14" s="82"/>
      <c r="GN14" s="183" t="s">
        <v>18</v>
      </c>
      <c r="GO14" s="183"/>
      <c r="GP14" s="183"/>
      <c r="GQ14" s="183"/>
      <c r="GR14" s="102"/>
      <c r="GS14" s="102"/>
      <c r="GT14" s="182" t="s">
        <v>19</v>
      </c>
      <c r="GU14" s="182"/>
      <c r="GV14" s="182"/>
      <c r="GW14" s="182"/>
      <c r="GX14" s="82"/>
      <c r="GY14" s="82"/>
      <c r="GZ14" s="183" t="s">
        <v>20</v>
      </c>
      <c r="HA14" s="183"/>
      <c r="HB14" s="183"/>
      <c r="HC14" s="183"/>
      <c r="HD14" s="102"/>
      <c r="HE14" s="102"/>
      <c r="HF14" s="182" t="s">
        <v>21</v>
      </c>
      <c r="HG14" s="182"/>
      <c r="HH14" s="182"/>
      <c r="HI14" s="182"/>
      <c r="HJ14" s="82"/>
      <c r="HK14" s="82"/>
      <c r="HL14" s="183" t="s">
        <v>22</v>
      </c>
      <c r="HM14" s="183"/>
      <c r="HN14" s="183"/>
      <c r="HO14" s="183"/>
      <c r="HP14" s="102"/>
      <c r="HQ14" s="102"/>
      <c r="HR14" s="182" t="s">
        <v>23</v>
      </c>
      <c r="HS14" s="182"/>
      <c r="HT14" s="182"/>
      <c r="HU14" s="182"/>
      <c r="HV14" s="82"/>
      <c r="HW14" s="82"/>
      <c r="HX14" s="183" t="s">
        <v>24</v>
      </c>
      <c r="HY14" s="183"/>
      <c r="HZ14" s="183"/>
      <c r="IA14" s="183"/>
      <c r="IB14" s="102"/>
      <c r="IC14" s="102"/>
      <c r="ID14" s="182" t="s">
        <v>25</v>
      </c>
      <c r="IE14" s="182"/>
      <c r="IF14" s="182"/>
      <c r="IG14" s="182"/>
      <c r="IH14" s="82"/>
      <c r="II14" s="82"/>
      <c r="IJ14" s="82"/>
      <c r="IK14" s="83"/>
      <c r="IL14" s="81"/>
      <c r="IM14" s="82"/>
      <c r="IN14" s="82"/>
      <c r="IO14" s="82"/>
      <c r="IP14" s="182" t="s">
        <v>17</v>
      </c>
      <c r="IQ14" s="182"/>
      <c r="IR14" s="182"/>
      <c r="IS14" s="182"/>
      <c r="IT14" s="82"/>
      <c r="IU14" s="82"/>
      <c r="IV14" s="183" t="s">
        <v>18</v>
      </c>
      <c r="IW14" s="183"/>
      <c r="IX14" s="183"/>
      <c r="IY14" s="183"/>
      <c r="IZ14" s="102"/>
      <c r="JA14" s="102"/>
      <c r="JB14" s="182" t="s">
        <v>19</v>
      </c>
      <c r="JC14" s="182"/>
      <c r="JD14" s="182"/>
      <c r="JE14" s="182"/>
      <c r="JF14" s="82"/>
      <c r="JG14" s="82"/>
      <c r="JH14" s="183" t="s">
        <v>20</v>
      </c>
      <c r="JI14" s="183"/>
      <c r="JJ14" s="183"/>
      <c r="JK14" s="183"/>
      <c r="JL14" s="102"/>
      <c r="JM14" s="102"/>
      <c r="JN14" s="182" t="s">
        <v>21</v>
      </c>
      <c r="JO14" s="182"/>
      <c r="JP14" s="182"/>
      <c r="JQ14" s="182"/>
      <c r="JR14" s="82"/>
      <c r="JS14" s="82"/>
      <c r="JT14" s="183" t="s">
        <v>22</v>
      </c>
      <c r="JU14" s="183"/>
      <c r="JV14" s="183"/>
      <c r="JW14" s="183"/>
      <c r="JX14" s="102"/>
      <c r="JY14" s="102"/>
      <c r="JZ14" s="182" t="s">
        <v>23</v>
      </c>
      <c r="KA14" s="182"/>
      <c r="KB14" s="182"/>
      <c r="KC14" s="182"/>
      <c r="KD14" s="82"/>
      <c r="KE14" s="82"/>
      <c r="KF14" s="183" t="s">
        <v>24</v>
      </c>
      <c r="KG14" s="183"/>
      <c r="KH14" s="183"/>
      <c r="KI14" s="183"/>
      <c r="KJ14" s="102"/>
      <c r="KK14" s="102"/>
      <c r="KL14" s="182" t="s">
        <v>25</v>
      </c>
      <c r="KM14" s="182"/>
      <c r="KN14" s="182"/>
      <c r="KO14" s="182"/>
      <c r="KP14" s="82"/>
      <c r="KQ14" s="82"/>
      <c r="KR14" s="82"/>
      <c r="KS14" s="83"/>
      <c r="KT14" s="81"/>
      <c r="KU14" s="82"/>
      <c r="KV14" s="82"/>
      <c r="KW14" s="82"/>
      <c r="KX14" s="182" t="s">
        <v>17</v>
      </c>
      <c r="KY14" s="182"/>
      <c r="KZ14" s="182"/>
      <c r="LA14" s="182"/>
      <c r="LB14" s="82"/>
      <c r="LC14" s="82"/>
      <c r="LD14" s="183" t="s">
        <v>18</v>
      </c>
      <c r="LE14" s="183"/>
      <c r="LF14" s="183"/>
      <c r="LG14" s="183"/>
      <c r="LH14" s="102"/>
      <c r="LI14" s="102"/>
      <c r="LJ14" s="182" t="s">
        <v>19</v>
      </c>
      <c r="LK14" s="182"/>
      <c r="LL14" s="182"/>
      <c r="LM14" s="182"/>
      <c r="LN14" s="82"/>
      <c r="LO14" s="82"/>
      <c r="LP14" s="183" t="s">
        <v>20</v>
      </c>
      <c r="LQ14" s="183"/>
      <c r="LR14" s="183"/>
      <c r="LS14" s="183"/>
      <c r="LT14" s="102"/>
      <c r="LU14" s="102"/>
      <c r="LV14" s="182" t="s">
        <v>21</v>
      </c>
      <c r="LW14" s="182"/>
      <c r="LX14" s="182"/>
      <c r="LY14" s="182"/>
      <c r="LZ14" s="82"/>
      <c r="MA14" s="82"/>
      <c r="MB14" s="183" t="s">
        <v>22</v>
      </c>
      <c r="MC14" s="183"/>
      <c r="MD14" s="183"/>
      <c r="ME14" s="183"/>
      <c r="MF14" s="102"/>
      <c r="MG14" s="102"/>
      <c r="MH14" s="182" t="s">
        <v>23</v>
      </c>
      <c r="MI14" s="182"/>
      <c r="MJ14" s="182"/>
      <c r="MK14" s="182"/>
      <c r="ML14" s="82"/>
      <c r="MM14" s="82"/>
      <c r="MN14" s="183" t="s">
        <v>24</v>
      </c>
      <c r="MO14" s="183"/>
      <c r="MP14" s="183"/>
      <c r="MQ14" s="183"/>
      <c r="MR14" s="102"/>
      <c r="MS14" s="102"/>
      <c r="MT14" s="182" t="s">
        <v>25</v>
      </c>
      <c r="MU14" s="182"/>
      <c r="MV14" s="182"/>
      <c r="MW14" s="182"/>
      <c r="MX14" s="82"/>
      <c r="MY14" s="82"/>
      <c r="MZ14" s="82"/>
      <c r="NA14" s="83"/>
      <c r="NB14" s="81"/>
      <c r="NC14" s="82"/>
      <c r="ND14" s="82"/>
      <c r="NE14" s="82"/>
      <c r="NF14" s="182" t="s">
        <v>17</v>
      </c>
      <c r="NG14" s="182"/>
      <c r="NH14" s="182"/>
      <c r="NI14" s="182"/>
      <c r="NJ14" s="82"/>
      <c r="NK14" s="82"/>
      <c r="NL14" s="183" t="s">
        <v>18</v>
      </c>
      <c r="NM14" s="183"/>
      <c r="NN14" s="183"/>
      <c r="NO14" s="183"/>
      <c r="NP14" s="102"/>
      <c r="NQ14" s="102"/>
      <c r="NR14" s="182" t="s">
        <v>19</v>
      </c>
      <c r="NS14" s="182"/>
      <c r="NT14" s="182"/>
      <c r="NU14" s="182"/>
      <c r="NV14" s="82"/>
      <c r="NW14" s="82"/>
      <c r="NX14" s="183" t="s">
        <v>20</v>
      </c>
      <c r="NY14" s="183"/>
      <c r="NZ14" s="183"/>
      <c r="OA14" s="183"/>
      <c r="OB14" s="102"/>
      <c r="OC14" s="102"/>
      <c r="OD14" s="182" t="s">
        <v>21</v>
      </c>
      <c r="OE14" s="182"/>
      <c r="OF14" s="182"/>
      <c r="OG14" s="182"/>
      <c r="OH14" s="82"/>
      <c r="OI14" s="82"/>
      <c r="OJ14" s="183" t="s">
        <v>22</v>
      </c>
      <c r="OK14" s="183"/>
      <c r="OL14" s="183"/>
      <c r="OM14" s="183"/>
      <c r="ON14" s="102"/>
      <c r="OO14" s="102"/>
      <c r="OP14" s="182" t="s">
        <v>23</v>
      </c>
      <c r="OQ14" s="182"/>
      <c r="OR14" s="182"/>
      <c r="OS14" s="182"/>
      <c r="OT14" s="82"/>
      <c r="OU14" s="82"/>
      <c r="OV14" s="183" t="s">
        <v>24</v>
      </c>
      <c r="OW14" s="183"/>
      <c r="OX14" s="183"/>
      <c r="OY14" s="183"/>
      <c r="OZ14" s="102"/>
      <c r="PA14" s="102"/>
      <c r="PB14" s="182" t="s">
        <v>25</v>
      </c>
      <c r="PC14" s="182"/>
      <c r="PD14" s="182"/>
      <c r="PE14" s="182"/>
      <c r="PF14" s="82"/>
      <c r="PG14" s="82"/>
      <c r="PH14" s="82"/>
      <c r="PI14" s="83"/>
      <c r="PJ14" s="81"/>
      <c r="PK14" s="82"/>
      <c r="PL14" s="82"/>
      <c r="PM14" s="82"/>
      <c r="PN14" s="182" t="s">
        <v>17</v>
      </c>
      <c r="PO14" s="182"/>
      <c r="PP14" s="182"/>
      <c r="PQ14" s="182"/>
      <c r="PR14" s="82"/>
      <c r="PS14" s="82"/>
      <c r="PT14" s="183" t="s">
        <v>18</v>
      </c>
      <c r="PU14" s="183"/>
      <c r="PV14" s="183"/>
      <c r="PW14" s="183"/>
      <c r="PX14" s="102"/>
      <c r="PY14" s="102"/>
      <c r="PZ14" s="182" t="s">
        <v>19</v>
      </c>
      <c r="QA14" s="182"/>
      <c r="QB14" s="182"/>
      <c r="QC14" s="182"/>
      <c r="QD14" s="82"/>
      <c r="QE14" s="82"/>
      <c r="QF14" s="183" t="s">
        <v>20</v>
      </c>
      <c r="QG14" s="183"/>
      <c r="QH14" s="183"/>
      <c r="QI14" s="183"/>
      <c r="QJ14" s="102"/>
      <c r="QK14" s="102"/>
      <c r="QL14" s="182" t="s">
        <v>21</v>
      </c>
      <c r="QM14" s="182"/>
      <c r="QN14" s="182"/>
      <c r="QO14" s="182"/>
      <c r="QP14" s="82"/>
      <c r="QQ14" s="82"/>
      <c r="QR14" s="183" t="s">
        <v>22</v>
      </c>
      <c r="QS14" s="183"/>
      <c r="QT14" s="183"/>
      <c r="QU14" s="183"/>
      <c r="QV14" s="102"/>
      <c r="QW14" s="102"/>
      <c r="QX14" s="182" t="s">
        <v>23</v>
      </c>
      <c r="QY14" s="182"/>
      <c r="QZ14" s="182"/>
      <c r="RA14" s="182"/>
      <c r="RB14" s="82"/>
      <c r="RC14" s="82"/>
      <c r="RD14" s="183" t="s">
        <v>24</v>
      </c>
      <c r="RE14" s="183"/>
      <c r="RF14" s="183"/>
      <c r="RG14" s="183"/>
      <c r="RH14" s="102"/>
      <c r="RI14" s="102"/>
      <c r="RJ14" s="182" t="s">
        <v>25</v>
      </c>
      <c r="RK14" s="182"/>
      <c r="RL14" s="182"/>
      <c r="RM14" s="182"/>
      <c r="RN14" s="82"/>
      <c r="RO14" s="82"/>
      <c r="RP14" s="82"/>
      <c r="RQ14" s="83"/>
      <c r="RR14" s="81"/>
      <c r="RS14" s="82"/>
      <c r="RT14" s="82"/>
      <c r="RU14" s="82"/>
      <c r="RV14" s="182" t="s">
        <v>17</v>
      </c>
      <c r="RW14" s="182"/>
      <c r="RX14" s="182"/>
      <c r="RY14" s="182"/>
      <c r="RZ14" s="82"/>
      <c r="SA14" s="82"/>
      <c r="SB14" s="183" t="s">
        <v>18</v>
      </c>
      <c r="SC14" s="183"/>
      <c r="SD14" s="183"/>
      <c r="SE14" s="183"/>
      <c r="SF14" s="102"/>
      <c r="SG14" s="102"/>
      <c r="SH14" s="182" t="s">
        <v>19</v>
      </c>
      <c r="SI14" s="182"/>
      <c r="SJ14" s="182"/>
      <c r="SK14" s="182"/>
      <c r="SL14" s="82"/>
      <c r="SM14" s="82"/>
      <c r="SN14" s="183" t="s">
        <v>20</v>
      </c>
      <c r="SO14" s="183"/>
      <c r="SP14" s="183"/>
      <c r="SQ14" s="183"/>
      <c r="SR14" s="102"/>
      <c r="SS14" s="102"/>
      <c r="ST14" s="182" t="s">
        <v>21</v>
      </c>
      <c r="SU14" s="182"/>
      <c r="SV14" s="182"/>
      <c r="SW14" s="182"/>
      <c r="SX14" s="82"/>
      <c r="SY14" s="82"/>
      <c r="SZ14" s="183" t="s">
        <v>22</v>
      </c>
      <c r="TA14" s="183"/>
      <c r="TB14" s="183"/>
      <c r="TC14" s="183"/>
      <c r="TD14" s="102"/>
      <c r="TE14" s="102"/>
      <c r="TF14" s="182" t="s">
        <v>23</v>
      </c>
      <c r="TG14" s="182"/>
      <c r="TH14" s="182"/>
      <c r="TI14" s="182"/>
      <c r="TJ14" s="82"/>
      <c r="TK14" s="82"/>
      <c r="TL14" s="183" t="s">
        <v>24</v>
      </c>
      <c r="TM14" s="183"/>
      <c r="TN14" s="183"/>
      <c r="TO14" s="183"/>
      <c r="TP14" s="102"/>
      <c r="TQ14" s="102"/>
      <c r="TR14" s="182" t="s">
        <v>25</v>
      </c>
      <c r="TS14" s="182"/>
      <c r="TT14" s="182"/>
      <c r="TU14" s="182"/>
      <c r="TV14" s="82"/>
      <c r="TW14" s="82"/>
      <c r="TX14" s="82"/>
      <c r="TY14" s="83"/>
      <c r="TZ14" s="81"/>
      <c r="UA14" s="82"/>
      <c r="UB14" s="82"/>
      <c r="UC14" s="82"/>
      <c r="UD14" s="182" t="s">
        <v>17</v>
      </c>
      <c r="UE14" s="182"/>
      <c r="UF14" s="182"/>
      <c r="UG14" s="182"/>
      <c r="UH14" s="82"/>
      <c r="UI14" s="82"/>
      <c r="UJ14" s="183" t="s">
        <v>18</v>
      </c>
      <c r="UK14" s="183"/>
      <c r="UL14" s="183"/>
      <c r="UM14" s="183"/>
      <c r="UN14" s="102"/>
      <c r="UO14" s="102"/>
      <c r="UP14" s="182" t="s">
        <v>19</v>
      </c>
      <c r="UQ14" s="182"/>
      <c r="UR14" s="182"/>
      <c r="US14" s="182"/>
      <c r="UT14" s="82"/>
      <c r="UU14" s="82"/>
      <c r="UV14" s="183" t="s">
        <v>20</v>
      </c>
      <c r="UW14" s="183"/>
      <c r="UX14" s="183"/>
      <c r="UY14" s="183"/>
      <c r="UZ14" s="102"/>
      <c r="VA14" s="102"/>
      <c r="VB14" s="182" t="s">
        <v>21</v>
      </c>
      <c r="VC14" s="182"/>
      <c r="VD14" s="182"/>
      <c r="VE14" s="182"/>
      <c r="VF14" s="82"/>
      <c r="VG14" s="82"/>
      <c r="VH14" s="183" t="s">
        <v>22</v>
      </c>
      <c r="VI14" s="183"/>
      <c r="VJ14" s="183"/>
      <c r="VK14" s="183"/>
      <c r="VL14" s="102"/>
      <c r="VM14" s="102"/>
      <c r="VN14" s="182" t="s">
        <v>23</v>
      </c>
      <c r="VO14" s="182"/>
      <c r="VP14" s="182"/>
      <c r="VQ14" s="182"/>
      <c r="VR14" s="82"/>
      <c r="VS14" s="82"/>
      <c r="VT14" s="183" t="s">
        <v>24</v>
      </c>
      <c r="VU14" s="183"/>
      <c r="VV14" s="183"/>
      <c r="VW14" s="183"/>
      <c r="VX14" s="102"/>
      <c r="VY14" s="102"/>
      <c r="VZ14" s="182" t="s">
        <v>25</v>
      </c>
      <c r="WA14" s="182"/>
      <c r="WB14" s="182"/>
      <c r="WC14" s="182"/>
      <c r="WD14" s="82"/>
      <c r="WE14" s="82"/>
      <c r="WF14" s="82"/>
      <c r="WG14" s="83"/>
      <c r="WH14" s="81"/>
      <c r="WI14" s="82"/>
      <c r="WJ14" s="82"/>
      <c r="WK14" s="82"/>
      <c r="WL14" s="182" t="s">
        <v>17</v>
      </c>
      <c r="WM14" s="182"/>
      <c r="WN14" s="182"/>
      <c r="WO14" s="182"/>
      <c r="WP14" s="82"/>
      <c r="WQ14" s="82"/>
      <c r="WR14" s="183" t="s">
        <v>18</v>
      </c>
      <c r="WS14" s="183"/>
      <c r="WT14" s="183"/>
      <c r="WU14" s="183"/>
      <c r="WV14" s="102"/>
      <c r="WW14" s="102"/>
      <c r="WX14" s="182" t="s">
        <v>19</v>
      </c>
      <c r="WY14" s="182"/>
      <c r="WZ14" s="182"/>
      <c r="XA14" s="182"/>
      <c r="XB14" s="82"/>
      <c r="XC14" s="82"/>
      <c r="XD14" s="183" t="s">
        <v>20</v>
      </c>
      <c r="XE14" s="183"/>
      <c r="XF14" s="183"/>
      <c r="XG14" s="183"/>
      <c r="XH14" s="102"/>
      <c r="XI14" s="102"/>
      <c r="XJ14" s="182" t="s">
        <v>21</v>
      </c>
      <c r="XK14" s="182"/>
      <c r="XL14" s="182"/>
      <c r="XM14" s="182"/>
      <c r="XN14" s="82"/>
      <c r="XO14" s="82"/>
      <c r="XP14" s="183" t="s">
        <v>22</v>
      </c>
      <c r="XQ14" s="183"/>
      <c r="XR14" s="183"/>
      <c r="XS14" s="183"/>
      <c r="XT14" s="102"/>
      <c r="XU14" s="102"/>
      <c r="XV14" s="182" t="s">
        <v>23</v>
      </c>
      <c r="XW14" s="182"/>
      <c r="XX14" s="182"/>
      <c r="XY14" s="182"/>
      <c r="XZ14" s="82"/>
      <c r="YA14" s="82"/>
      <c r="YB14" s="183" t="s">
        <v>24</v>
      </c>
      <c r="YC14" s="183"/>
      <c r="YD14" s="183"/>
      <c r="YE14" s="183"/>
      <c r="YF14" s="102"/>
      <c r="YG14" s="102"/>
      <c r="YH14" s="182" t="s">
        <v>25</v>
      </c>
      <c r="YI14" s="182"/>
      <c r="YJ14" s="182"/>
      <c r="YK14" s="182"/>
      <c r="YL14" s="82"/>
      <c r="YM14" s="82"/>
      <c r="YN14" s="82"/>
      <c r="YO14" s="83"/>
      <c r="YP14" s="81"/>
      <c r="YQ14" s="82"/>
      <c r="YR14" s="82"/>
      <c r="YS14" s="82"/>
      <c r="YT14" s="182" t="s">
        <v>17</v>
      </c>
      <c r="YU14" s="182"/>
      <c r="YV14" s="182"/>
      <c r="YW14" s="182"/>
      <c r="YX14" s="82"/>
      <c r="YY14" s="82"/>
      <c r="YZ14" s="183" t="s">
        <v>18</v>
      </c>
      <c r="ZA14" s="183"/>
      <c r="ZB14" s="183"/>
      <c r="ZC14" s="183"/>
      <c r="ZD14" s="102"/>
      <c r="ZE14" s="102"/>
      <c r="ZF14" s="182" t="s">
        <v>19</v>
      </c>
      <c r="ZG14" s="182"/>
      <c r="ZH14" s="182"/>
      <c r="ZI14" s="182"/>
      <c r="ZJ14" s="82"/>
      <c r="ZK14" s="82"/>
      <c r="ZL14" s="183" t="s">
        <v>20</v>
      </c>
      <c r="ZM14" s="183"/>
      <c r="ZN14" s="183"/>
      <c r="ZO14" s="183"/>
      <c r="ZP14" s="102"/>
      <c r="ZQ14" s="102"/>
      <c r="ZR14" s="182" t="s">
        <v>21</v>
      </c>
      <c r="ZS14" s="182"/>
      <c r="ZT14" s="182"/>
      <c r="ZU14" s="182"/>
      <c r="ZV14" s="82"/>
      <c r="ZW14" s="82"/>
      <c r="ZX14" s="183" t="s">
        <v>22</v>
      </c>
      <c r="ZY14" s="183"/>
      <c r="ZZ14" s="183"/>
      <c r="AAA14" s="183"/>
      <c r="AAB14" s="102"/>
      <c r="AAC14" s="102"/>
      <c r="AAD14" s="182" t="s">
        <v>23</v>
      </c>
      <c r="AAE14" s="182"/>
      <c r="AAF14" s="182"/>
      <c r="AAG14" s="182"/>
      <c r="AAH14" s="82"/>
      <c r="AAI14" s="82"/>
      <c r="AAJ14" s="183" t="s">
        <v>24</v>
      </c>
      <c r="AAK14" s="183"/>
      <c r="AAL14" s="183"/>
      <c r="AAM14" s="183"/>
      <c r="AAN14" s="102"/>
      <c r="AAO14" s="102"/>
      <c r="AAP14" s="182" t="s">
        <v>25</v>
      </c>
      <c r="AAQ14" s="182"/>
      <c r="AAR14" s="182"/>
      <c r="AAS14" s="182"/>
      <c r="AAT14" s="82"/>
      <c r="AAU14" s="82"/>
      <c r="AAV14" s="82"/>
      <c r="AAW14" s="83"/>
      <c r="AAX14" s="81"/>
      <c r="AAY14" s="82"/>
      <c r="AAZ14" s="82"/>
      <c r="ABA14" s="82"/>
      <c r="ABB14" s="182" t="s">
        <v>17</v>
      </c>
      <c r="ABC14" s="182"/>
      <c r="ABD14" s="182"/>
      <c r="ABE14" s="182"/>
      <c r="ABF14" s="82"/>
      <c r="ABG14" s="82"/>
      <c r="ABH14" s="183" t="s">
        <v>18</v>
      </c>
      <c r="ABI14" s="183"/>
      <c r="ABJ14" s="183"/>
      <c r="ABK14" s="183"/>
      <c r="ABL14" s="102"/>
      <c r="ABM14" s="102"/>
      <c r="ABN14" s="182" t="s">
        <v>19</v>
      </c>
      <c r="ABO14" s="182"/>
      <c r="ABP14" s="182"/>
      <c r="ABQ14" s="182"/>
      <c r="ABR14" s="82"/>
      <c r="ABS14" s="82"/>
      <c r="ABT14" s="183" t="s">
        <v>20</v>
      </c>
      <c r="ABU14" s="183"/>
      <c r="ABV14" s="183"/>
      <c r="ABW14" s="183"/>
      <c r="ABX14" s="102"/>
      <c r="ABY14" s="102"/>
      <c r="ABZ14" s="182" t="s">
        <v>21</v>
      </c>
      <c r="ACA14" s="182"/>
      <c r="ACB14" s="182"/>
      <c r="ACC14" s="182"/>
      <c r="ACD14" s="82"/>
      <c r="ACE14" s="82"/>
      <c r="ACF14" s="183" t="s">
        <v>22</v>
      </c>
      <c r="ACG14" s="183"/>
      <c r="ACH14" s="183"/>
      <c r="ACI14" s="183"/>
      <c r="ACJ14" s="102"/>
      <c r="ACK14" s="102"/>
      <c r="ACL14" s="182" t="s">
        <v>23</v>
      </c>
      <c r="ACM14" s="182"/>
      <c r="ACN14" s="182"/>
      <c r="ACO14" s="182"/>
      <c r="ACP14" s="82"/>
      <c r="ACQ14" s="82"/>
      <c r="ACR14" s="183" t="s">
        <v>24</v>
      </c>
      <c r="ACS14" s="183"/>
      <c r="ACT14" s="183"/>
      <c r="ACU14" s="183"/>
      <c r="ACV14" s="102"/>
      <c r="ACW14" s="102"/>
      <c r="ACX14" s="182" t="s">
        <v>25</v>
      </c>
      <c r="ACY14" s="182"/>
      <c r="ACZ14" s="182"/>
      <c r="ADA14" s="182"/>
      <c r="ADB14" s="82"/>
      <c r="ADC14" s="82"/>
      <c r="ADD14" s="82"/>
      <c r="ADE14" s="83"/>
      <c r="ADF14" s="81"/>
      <c r="ADG14" s="82"/>
      <c r="ADH14" s="82"/>
      <c r="ADI14" s="82"/>
      <c r="ADJ14" s="182" t="s">
        <v>17</v>
      </c>
      <c r="ADK14" s="182"/>
      <c r="ADL14" s="182"/>
      <c r="ADM14" s="182"/>
      <c r="ADN14" s="82"/>
      <c r="ADO14" s="82"/>
      <c r="ADP14" s="183" t="s">
        <v>18</v>
      </c>
      <c r="ADQ14" s="183"/>
      <c r="ADR14" s="183"/>
      <c r="ADS14" s="183"/>
      <c r="ADT14" s="102"/>
      <c r="ADU14" s="102"/>
      <c r="ADV14" s="182" t="s">
        <v>19</v>
      </c>
      <c r="ADW14" s="182"/>
      <c r="ADX14" s="182"/>
      <c r="ADY14" s="182"/>
      <c r="ADZ14" s="82"/>
      <c r="AEA14" s="82"/>
      <c r="AEB14" s="183" t="s">
        <v>20</v>
      </c>
      <c r="AEC14" s="183"/>
      <c r="AED14" s="183"/>
      <c r="AEE14" s="183"/>
      <c r="AEF14" s="102"/>
      <c r="AEG14" s="102"/>
      <c r="AEH14" s="182" t="s">
        <v>21</v>
      </c>
      <c r="AEI14" s="182"/>
      <c r="AEJ14" s="182"/>
      <c r="AEK14" s="182"/>
      <c r="AEL14" s="82"/>
      <c r="AEM14" s="82"/>
      <c r="AEN14" s="183" t="s">
        <v>22</v>
      </c>
      <c r="AEO14" s="183"/>
      <c r="AEP14" s="183"/>
      <c r="AEQ14" s="183"/>
      <c r="AER14" s="102"/>
      <c r="AES14" s="102"/>
      <c r="AET14" s="182" t="s">
        <v>23</v>
      </c>
      <c r="AEU14" s="182"/>
      <c r="AEV14" s="182"/>
      <c r="AEW14" s="182"/>
      <c r="AEX14" s="82"/>
      <c r="AEY14" s="82"/>
      <c r="AEZ14" s="183" t="s">
        <v>24</v>
      </c>
      <c r="AFA14" s="183"/>
      <c r="AFB14" s="183"/>
      <c r="AFC14" s="183"/>
      <c r="AFD14" s="102"/>
      <c r="AFE14" s="102"/>
      <c r="AFF14" s="182" t="s">
        <v>25</v>
      </c>
      <c r="AFG14" s="182"/>
      <c r="AFH14" s="182"/>
      <c r="AFI14" s="182"/>
      <c r="AFJ14" s="82"/>
      <c r="AFK14" s="82"/>
      <c r="AFL14" s="82"/>
      <c r="AFM14" s="83"/>
      <c r="AFN14" s="81"/>
      <c r="AFO14" s="82"/>
      <c r="AFP14" s="82"/>
      <c r="AFQ14" s="82"/>
      <c r="AFR14" s="182" t="s">
        <v>17</v>
      </c>
      <c r="AFS14" s="182"/>
      <c r="AFT14" s="182"/>
      <c r="AFU14" s="182"/>
      <c r="AFV14" s="82"/>
      <c r="AFW14" s="82"/>
      <c r="AFX14" s="183" t="s">
        <v>18</v>
      </c>
      <c r="AFY14" s="183"/>
      <c r="AFZ14" s="183"/>
      <c r="AGA14" s="183"/>
      <c r="AGB14" s="102"/>
      <c r="AGC14" s="102"/>
      <c r="AGD14" s="182" t="s">
        <v>19</v>
      </c>
      <c r="AGE14" s="182"/>
      <c r="AGF14" s="182"/>
      <c r="AGG14" s="182"/>
      <c r="AGH14" s="82"/>
      <c r="AGI14" s="82"/>
      <c r="AGJ14" s="183" t="s">
        <v>20</v>
      </c>
      <c r="AGK14" s="183"/>
      <c r="AGL14" s="183"/>
      <c r="AGM14" s="183"/>
      <c r="AGN14" s="102"/>
      <c r="AGO14" s="102"/>
      <c r="AGP14" s="182" t="s">
        <v>21</v>
      </c>
      <c r="AGQ14" s="182"/>
      <c r="AGR14" s="182"/>
      <c r="AGS14" s="182"/>
      <c r="AGT14" s="82"/>
      <c r="AGU14" s="82"/>
      <c r="AGV14" s="183" t="s">
        <v>22</v>
      </c>
      <c r="AGW14" s="183"/>
      <c r="AGX14" s="183"/>
      <c r="AGY14" s="183"/>
      <c r="AGZ14" s="102"/>
      <c r="AHA14" s="102"/>
      <c r="AHB14" s="182" t="s">
        <v>23</v>
      </c>
      <c r="AHC14" s="182"/>
      <c r="AHD14" s="182"/>
      <c r="AHE14" s="182"/>
      <c r="AHF14" s="82"/>
      <c r="AHG14" s="82"/>
      <c r="AHH14" s="183" t="s">
        <v>24</v>
      </c>
      <c r="AHI14" s="183"/>
      <c r="AHJ14" s="183"/>
      <c r="AHK14" s="183"/>
      <c r="AHL14" s="102"/>
      <c r="AHM14" s="102"/>
      <c r="AHN14" s="182" t="s">
        <v>25</v>
      </c>
      <c r="AHO14" s="182"/>
      <c r="AHP14" s="182"/>
      <c r="AHQ14" s="182"/>
      <c r="AHR14" s="82"/>
      <c r="AHS14" s="82"/>
      <c r="AHT14" s="82"/>
      <c r="AHU14" s="83"/>
      <c r="AHV14" s="81"/>
      <c r="AHW14" s="82"/>
      <c r="AHX14" s="82"/>
      <c r="AHY14" s="82"/>
      <c r="AHZ14" s="182" t="s">
        <v>17</v>
      </c>
      <c r="AIA14" s="182"/>
      <c r="AIB14" s="182"/>
      <c r="AIC14" s="182"/>
      <c r="AID14" s="82"/>
      <c r="AIE14" s="82"/>
      <c r="AIF14" s="183" t="s">
        <v>18</v>
      </c>
      <c r="AIG14" s="183"/>
      <c r="AIH14" s="183"/>
      <c r="AII14" s="183"/>
      <c r="AIJ14" s="102"/>
      <c r="AIK14" s="102"/>
      <c r="AIL14" s="182" t="s">
        <v>19</v>
      </c>
      <c r="AIM14" s="182"/>
      <c r="AIN14" s="182"/>
      <c r="AIO14" s="182"/>
      <c r="AIP14" s="82"/>
      <c r="AIQ14" s="82"/>
      <c r="AIR14" s="183" t="s">
        <v>20</v>
      </c>
      <c r="AIS14" s="183"/>
      <c r="AIT14" s="183"/>
      <c r="AIU14" s="183"/>
      <c r="AIV14" s="102"/>
      <c r="AIW14" s="102"/>
      <c r="AIX14" s="182" t="s">
        <v>21</v>
      </c>
      <c r="AIY14" s="182"/>
      <c r="AIZ14" s="182"/>
      <c r="AJA14" s="182"/>
      <c r="AJB14" s="82"/>
      <c r="AJC14" s="82"/>
      <c r="AJD14" s="183" t="s">
        <v>22</v>
      </c>
      <c r="AJE14" s="183"/>
      <c r="AJF14" s="183"/>
      <c r="AJG14" s="183"/>
      <c r="AJH14" s="102"/>
      <c r="AJI14" s="102"/>
      <c r="AJJ14" s="182" t="s">
        <v>23</v>
      </c>
      <c r="AJK14" s="182"/>
      <c r="AJL14" s="182"/>
      <c r="AJM14" s="182"/>
      <c r="AJN14" s="82"/>
      <c r="AJO14" s="82"/>
      <c r="AJP14" s="183" t="s">
        <v>24</v>
      </c>
      <c r="AJQ14" s="183"/>
      <c r="AJR14" s="183"/>
      <c r="AJS14" s="183"/>
      <c r="AJT14" s="102"/>
      <c r="AJU14" s="102"/>
      <c r="AJV14" s="182" t="s">
        <v>25</v>
      </c>
      <c r="AJW14" s="182"/>
      <c r="AJX14" s="182"/>
      <c r="AJY14" s="182"/>
      <c r="AJZ14" s="82"/>
      <c r="AKA14" s="82"/>
      <c r="AKB14" s="82"/>
      <c r="AKC14" s="83"/>
      <c r="AKD14" s="81"/>
      <c r="AKE14" s="82"/>
      <c r="AKF14" s="82"/>
      <c r="AKG14" s="82"/>
      <c r="AKH14" s="182" t="s">
        <v>17</v>
      </c>
      <c r="AKI14" s="182"/>
      <c r="AKJ14" s="182"/>
      <c r="AKK14" s="182"/>
      <c r="AKL14" s="82"/>
      <c r="AKM14" s="82"/>
      <c r="AKN14" s="183" t="s">
        <v>18</v>
      </c>
      <c r="AKO14" s="183"/>
      <c r="AKP14" s="183"/>
      <c r="AKQ14" s="183"/>
      <c r="AKR14" s="102"/>
      <c r="AKS14" s="102"/>
      <c r="AKT14" s="182" t="s">
        <v>19</v>
      </c>
      <c r="AKU14" s="182"/>
      <c r="AKV14" s="182"/>
      <c r="AKW14" s="182"/>
      <c r="AKX14" s="82"/>
      <c r="AKY14" s="82"/>
      <c r="AKZ14" s="183" t="s">
        <v>20</v>
      </c>
      <c r="ALA14" s="183"/>
      <c r="ALB14" s="183"/>
      <c r="ALC14" s="183"/>
      <c r="ALD14" s="102"/>
      <c r="ALE14" s="102"/>
      <c r="ALF14" s="182" t="s">
        <v>21</v>
      </c>
      <c r="ALG14" s="182"/>
      <c r="ALH14" s="182"/>
      <c r="ALI14" s="182"/>
      <c r="ALJ14" s="82"/>
      <c r="ALK14" s="82"/>
      <c r="ALL14" s="183" t="s">
        <v>22</v>
      </c>
      <c r="ALM14" s="183"/>
      <c r="ALN14" s="183"/>
      <c r="ALO14" s="183"/>
      <c r="ALP14" s="102"/>
      <c r="ALQ14" s="102"/>
      <c r="ALR14" s="182" t="s">
        <v>23</v>
      </c>
      <c r="ALS14" s="182"/>
      <c r="ALT14" s="182"/>
      <c r="ALU14" s="182"/>
      <c r="ALV14" s="82"/>
      <c r="ALW14" s="82"/>
      <c r="ALX14" s="183" t="s">
        <v>24</v>
      </c>
      <c r="ALY14" s="183"/>
      <c r="ALZ14" s="183"/>
      <c r="AMA14" s="183"/>
      <c r="AMB14" s="102"/>
      <c r="AMC14" s="102"/>
      <c r="AMD14" s="182" t="s">
        <v>25</v>
      </c>
      <c r="AME14" s="182"/>
      <c r="AMF14" s="182"/>
      <c r="AMG14" s="182"/>
      <c r="AMH14" s="82"/>
      <c r="AMI14" s="82"/>
      <c r="AMJ14" s="82"/>
      <c r="AMK14" s="83"/>
      <c r="AML14" s="81"/>
      <c r="AMM14" s="82"/>
      <c r="AMN14" s="82"/>
      <c r="AMO14" s="82"/>
      <c r="AMP14" s="182" t="s">
        <v>17</v>
      </c>
      <c r="AMQ14" s="182"/>
      <c r="AMR14" s="182"/>
      <c r="AMS14" s="182"/>
      <c r="AMT14" s="82"/>
      <c r="AMU14" s="82"/>
      <c r="AMV14" s="183" t="s">
        <v>18</v>
      </c>
      <c r="AMW14" s="183"/>
      <c r="AMX14" s="183"/>
      <c r="AMY14" s="183"/>
      <c r="AMZ14" s="102"/>
      <c r="ANA14" s="102"/>
      <c r="ANB14" s="182" t="s">
        <v>19</v>
      </c>
      <c r="ANC14" s="182"/>
      <c r="AND14" s="182"/>
      <c r="ANE14" s="182"/>
      <c r="ANF14" s="82"/>
      <c r="ANG14" s="82"/>
      <c r="ANH14" s="183" t="s">
        <v>20</v>
      </c>
      <c r="ANI14" s="183"/>
      <c r="ANJ14" s="183"/>
      <c r="ANK14" s="183"/>
      <c r="ANL14" s="102"/>
      <c r="ANM14" s="102"/>
      <c r="ANN14" s="182" t="s">
        <v>21</v>
      </c>
      <c r="ANO14" s="182"/>
      <c r="ANP14" s="182"/>
      <c r="ANQ14" s="182"/>
      <c r="ANR14" s="82"/>
      <c r="ANS14" s="82"/>
      <c r="ANT14" s="183" t="s">
        <v>22</v>
      </c>
      <c r="ANU14" s="183"/>
      <c r="ANV14" s="183"/>
      <c r="ANW14" s="183"/>
      <c r="ANX14" s="102"/>
      <c r="ANY14" s="102"/>
      <c r="ANZ14" s="182" t="s">
        <v>23</v>
      </c>
      <c r="AOA14" s="182"/>
      <c r="AOB14" s="182"/>
      <c r="AOC14" s="182"/>
      <c r="AOD14" s="82"/>
      <c r="AOE14" s="82"/>
      <c r="AOF14" s="183" t="s">
        <v>24</v>
      </c>
      <c r="AOG14" s="183"/>
      <c r="AOH14" s="183"/>
      <c r="AOI14" s="183"/>
      <c r="AOJ14" s="102"/>
      <c r="AOK14" s="102"/>
      <c r="AOL14" s="182" t="s">
        <v>25</v>
      </c>
      <c r="AOM14" s="182"/>
      <c r="AON14" s="182"/>
      <c r="AOO14" s="182"/>
      <c r="AOP14" s="82"/>
      <c r="AOQ14" s="82"/>
      <c r="AOR14" s="82"/>
      <c r="AOS14" s="83"/>
      <c r="AOT14" s="81"/>
      <c r="AOU14" s="82"/>
      <c r="AOV14" s="82"/>
      <c r="AOW14" s="82"/>
      <c r="AOX14" s="182" t="s">
        <v>17</v>
      </c>
      <c r="AOY14" s="182"/>
      <c r="AOZ14" s="182"/>
      <c r="APA14" s="182"/>
      <c r="APB14" s="82"/>
      <c r="APC14" s="82"/>
      <c r="APD14" s="183" t="s">
        <v>18</v>
      </c>
      <c r="APE14" s="183"/>
      <c r="APF14" s="183"/>
      <c r="APG14" s="183"/>
      <c r="APH14" s="102"/>
      <c r="API14" s="102"/>
      <c r="APJ14" s="182" t="s">
        <v>19</v>
      </c>
      <c r="APK14" s="182"/>
      <c r="APL14" s="182"/>
      <c r="APM14" s="182"/>
      <c r="APN14" s="82"/>
      <c r="APO14" s="82"/>
      <c r="APP14" s="183" t="s">
        <v>20</v>
      </c>
      <c r="APQ14" s="183"/>
      <c r="APR14" s="183"/>
      <c r="APS14" s="183"/>
      <c r="APT14" s="102"/>
      <c r="APU14" s="102"/>
      <c r="APV14" s="182" t="s">
        <v>21</v>
      </c>
      <c r="APW14" s="182"/>
      <c r="APX14" s="182"/>
      <c r="APY14" s="182"/>
      <c r="APZ14" s="82"/>
      <c r="AQA14" s="82"/>
      <c r="AQB14" s="183" t="s">
        <v>22</v>
      </c>
      <c r="AQC14" s="183"/>
      <c r="AQD14" s="183"/>
      <c r="AQE14" s="183"/>
      <c r="AQF14" s="102"/>
      <c r="AQG14" s="102"/>
      <c r="AQH14" s="182" t="s">
        <v>23</v>
      </c>
      <c r="AQI14" s="182"/>
      <c r="AQJ14" s="182"/>
      <c r="AQK14" s="182"/>
      <c r="AQL14" s="82"/>
      <c r="AQM14" s="82"/>
      <c r="AQN14" s="183" t="s">
        <v>24</v>
      </c>
      <c r="AQO14" s="183"/>
      <c r="AQP14" s="183"/>
      <c r="AQQ14" s="183"/>
      <c r="AQR14" s="102"/>
      <c r="AQS14" s="102"/>
      <c r="AQT14" s="182" t="s">
        <v>25</v>
      </c>
      <c r="AQU14" s="182"/>
      <c r="AQV14" s="182"/>
      <c r="AQW14" s="182"/>
      <c r="AQX14" s="82"/>
      <c r="AQY14" s="82"/>
      <c r="AQZ14" s="82"/>
      <c r="ARA14" s="83"/>
      <c r="ARB14" s="81"/>
      <c r="ARC14" s="82"/>
      <c r="ARD14" s="82"/>
      <c r="ARE14" s="82"/>
      <c r="ARF14" s="182" t="s">
        <v>17</v>
      </c>
      <c r="ARG14" s="182"/>
      <c r="ARH14" s="182"/>
      <c r="ARI14" s="182"/>
      <c r="ARJ14" s="82"/>
      <c r="ARK14" s="82"/>
      <c r="ARL14" s="183" t="s">
        <v>18</v>
      </c>
      <c r="ARM14" s="183"/>
      <c r="ARN14" s="183"/>
      <c r="ARO14" s="183"/>
      <c r="ARP14" s="102"/>
      <c r="ARQ14" s="102"/>
      <c r="ARR14" s="182" t="s">
        <v>19</v>
      </c>
      <c r="ARS14" s="182"/>
      <c r="ART14" s="182"/>
      <c r="ARU14" s="182"/>
      <c r="ARV14" s="82"/>
      <c r="ARW14" s="82"/>
      <c r="ARX14" s="183" t="s">
        <v>20</v>
      </c>
      <c r="ARY14" s="183"/>
      <c r="ARZ14" s="183"/>
      <c r="ASA14" s="183"/>
      <c r="ASB14" s="102"/>
      <c r="ASC14" s="102"/>
      <c r="ASD14" s="182" t="s">
        <v>21</v>
      </c>
      <c r="ASE14" s="182"/>
      <c r="ASF14" s="182"/>
      <c r="ASG14" s="182"/>
      <c r="ASH14" s="82"/>
      <c r="ASI14" s="82"/>
      <c r="ASJ14" s="183" t="s">
        <v>22</v>
      </c>
      <c r="ASK14" s="183"/>
      <c r="ASL14" s="183"/>
      <c r="ASM14" s="183"/>
      <c r="ASN14" s="102"/>
      <c r="ASO14" s="102"/>
      <c r="ASP14" s="182" t="s">
        <v>23</v>
      </c>
      <c r="ASQ14" s="182"/>
      <c r="ASR14" s="182"/>
      <c r="ASS14" s="182"/>
      <c r="AST14" s="82"/>
      <c r="ASU14" s="82"/>
      <c r="ASV14" s="183" t="s">
        <v>24</v>
      </c>
      <c r="ASW14" s="183"/>
      <c r="ASX14" s="183"/>
      <c r="ASY14" s="183"/>
      <c r="ASZ14" s="102"/>
      <c r="ATA14" s="102"/>
      <c r="ATB14" s="182" t="s">
        <v>25</v>
      </c>
      <c r="ATC14" s="182"/>
      <c r="ATD14" s="182"/>
      <c r="ATE14" s="182"/>
      <c r="ATF14" s="82"/>
      <c r="ATG14" s="82"/>
      <c r="ATH14" s="82"/>
      <c r="ATI14" s="83"/>
      <c r="ATJ14" s="81"/>
      <c r="ATK14" s="82"/>
      <c r="ATL14" s="82"/>
      <c r="ATM14" s="82"/>
      <c r="ATN14" s="182" t="s">
        <v>17</v>
      </c>
      <c r="ATO14" s="182"/>
      <c r="ATP14" s="182"/>
      <c r="ATQ14" s="182"/>
      <c r="ATR14" s="82"/>
      <c r="ATS14" s="82"/>
      <c r="ATT14" s="183" t="s">
        <v>18</v>
      </c>
      <c r="ATU14" s="183"/>
      <c r="ATV14" s="183"/>
      <c r="ATW14" s="183"/>
      <c r="ATX14" s="102"/>
      <c r="ATY14" s="102"/>
      <c r="ATZ14" s="182" t="s">
        <v>19</v>
      </c>
      <c r="AUA14" s="182"/>
      <c r="AUB14" s="182"/>
      <c r="AUC14" s="182"/>
      <c r="AUD14" s="82"/>
      <c r="AUE14" s="82"/>
      <c r="AUF14" s="183" t="s">
        <v>20</v>
      </c>
      <c r="AUG14" s="183"/>
      <c r="AUH14" s="183"/>
      <c r="AUI14" s="183"/>
      <c r="AUJ14" s="102"/>
      <c r="AUK14" s="102"/>
      <c r="AUL14" s="182" t="s">
        <v>21</v>
      </c>
      <c r="AUM14" s="182"/>
      <c r="AUN14" s="182"/>
      <c r="AUO14" s="182"/>
      <c r="AUP14" s="82"/>
      <c r="AUQ14" s="82"/>
      <c r="AUR14" s="183" t="s">
        <v>22</v>
      </c>
      <c r="AUS14" s="183"/>
      <c r="AUT14" s="183"/>
      <c r="AUU14" s="183"/>
      <c r="AUV14" s="102"/>
      <c r="AUW14" s="102"/>
      <c r="AUX14" s="182" t="s">
        <v>23</v>
      </c>
      <c r="AUY14" s="182"/>
      <c r="AUZ14" s="182"/>
      <c r="AVA14" s="182"/>
      <c r="AVB14" s="82"/>
      <c r="AVC14" s="82"/>
      <c r="AVD14" s="183" t="s">
        <v>24</v>
      </c>
      <c r="AVE14" s="183"/>
      <c r="AVF14" s="183"/>
      <c r="AVG14" s="183"/>
      <c r="AVH14" s="102"/>
      <c r="AVI14" s="102"/>
      <c r="AVJ14" s="182" t="s">
        <v>25</v>
      </c>
      <c r="AVK14" s="182"/>
      <c r="AVL14" s="182"/>
      <c r="AVM14" s="182"/>
      <c r="AVN14" s="82"/>
      <c r="AVO14" s="82"/>
      <c r="AVP14" s="82"/>
      <c r="AVQ14" s="83"/>
      <c r="AVR14" s="81"/>
      <c r="AVS14" s="82"/>
      <c r="AVT14" s="82"/>
      <c r="AVU14" s="82"/>
      <c r="AVV14" s="182" t="s">
        <v>17</v>
      </c>
      <c r="AVW14" s="182"/>
      <c r="AVX14" s="182"/>
      <c r="AVY14" s="182"/>
      <c r="AVZ14" s="82"/>
      <c r="AWA14" s="82"/>
      <c r="AWB14" s="183" t="s">
        <v>18</v>
      </c>
      <c r="AWC14" s="183"/>
      <c r="AWD14" s="183"/>
      <c r="AWE14" s="183"/>
      <c r="AWF14" s="102"/>
      <c r="AWG14" s="102"/>
      <c r="AWH14" s="182" t="s">
        <v>19</v>
      </c>
      <c r="AWI14" s="182"/>
      <c r="AWJ14" s="182"/>
      <c r="AWK14" s="182"/>
      <c r="AWL14" s="82"/>
      <c r="AWM14" s="82"/>
      <c r="AWN14" s="183" t="s">
        <v>20</v>
      </c>
      <c r="AWO14" s="183"/>
      <c r="AWP14" s="183"/>
      <c r="AWQ14" s="183"/>
      <c r="AWR14" s="102"/>
      <c r="AWS14" s="102"/>
      <c r="AWT14" s="182" t="s">
        <v>21</v>
      </c>
      <c r="AWU14" s="182"/>
      <c r="AWV14" s="182"/>
      <c r="AWW14" s="182"/>
      <c r="AWX14" s="82"/>
      <c r="AWY14" s="82"/>
      <c r="AWZ14" s="183" t="s">
        <v>22</v>
      </c>
      <c r="AXA14" s="183"/>
      <c r="AXB14" s="183"/>
      <c r="AXC14" s="183"/>
      <c r="AXD14" s="102"/>
      <c r="AXE14" s="102"/>
      <c r="AXF14" s="182" t="s">
        <v>23</v>
      </c>
      <c r="AXG14" s="182"/>
      <c r="AXH14" s="182"/>
      <c r="AXI14" s="182"/>
      <c r="AXJ14" s="82"/>
      <c r="AXK14" s="82"/>
      <c r="AXL14" s="183" t="s">
        <v>24</v>
      </c>
      <c r="AXM14" s="183"/>
      <c r="AXN14" s="183"/>
      <c r="AXO14" s="183"/>
      <c r="AXP14" s="102"/>
      <c r="AXQ14" s="102"/>
      <c r="AXR14" s="182" t="s">
        <v>25</v>
      </c>
      <c r="AXS14" s="182"/>
      <c r="AXT14" s="182"/>
      <c r="AXU14" s="182"/>
      <c r="AXV14" s="82"/>
      <c r="AXW14" s="82"/>
      <c r="AXX14" s="82"/>
      <c r="AXY14" s="83"/>
      <c r="AXZ14" s="81"/>
      <c r="AYA14" s="82"/>
      <c r="AYB14" s="82"/>
      <c r="AYC14" s="82"/>
      <c r="AYD14" s="182" t="s">
        <v>17</v>
      </c>
      <c r="AYE14" s="182"/>
      <c r="AYF14" s="182"/>
      <c r="AYG14" s="182"/>
      <c r="AYH14" s="82"/>
      <c r="AYI14" s="82"/>
      <c r="AYJ14" s="183" t="s">
        <v>18</v>
      </c>
      <c r="AYK14" s="183"/>
      <c r="AYL14" s="183"/>
      <c r="AYM14" s="183"/>
      <c r="AYN14" s="102"/>
      <c r="AYO14" s="102"/>
      <c r="AYP14" s="182" t="s">
        <v>19</v>
      </c>
      <c r="AYQ14" s="182"/>
      <c r="AYR14" s="182"/>
      <c r="AYS14" s="182"/>
      <c r="AYT14" s="82"/>
      <c r="AYU14" s="82"/>
      <c r="AYV14" s="183" t="s">
        <v>20</v>
      </c>
      <c r="AYW14" s="183"/>
      <c r="AYX14" s="183"/>
      <c r="AYY14" s="183"/>
      <c r="AYZ14" s="102"/>
      <c r="AZA14" s="102"/>
      <c r="AZB14" s="182" t="s">
        <v>21</v>
      </c>
      <c r="AZC14" s="182"/>
      <c r="AZD14" s="182"/>
      <c r="AZE14" s="182"/>
      <c r="AZF14" s="82"/>
      <c r="AZG14" s="82"/>
      <c r="AZH14" s="183" t="s">
        <v>22</v>
      </c>
      <c r="AZI14" s="183"/>
      <c r="AZJ14" s="183"/>
      <c r="AZK14" s="183"/>
      <c r="AZL14" s="102"/>
      <c r="AZM14" s="102"/>
      <c r="AZN14" s="182" t="s">
        <v>23</v>
      </c>
      <c r="AZO14" s="182"/>
      <c r="AZP14" s="182"/>
      <c r="AZQ14" s="182"/>
      <c r="AZR14" s="82"/>
      <c r="AZS14" s="82"/>
      <c r="AZT14" s="183" t="s">
        <v>24</v>
      </c>
      <c r="AZU14" s="183"/>
      <c r="AZV14" s="183"/>
      <c r="AZW14" s="183"/>
      <c r="AZX14" s="102"/>
      <c r="AZY14" s="102"/>
      <c r="AZZ14" s="182" t="s">
        <v>25</v>
      </c>
      <c r="BAA14" s="182"/>
      <c r="BAB14" s="182"/>
      <c r="BAC14" s="182"/>
      <c r="BAD14" s="82"/>
      <c r="BAE14" s="82"/>
      <c r="BAF14" s="82"/>
      <c r="BAG14" s="83"/>
      <c r="BAH14" s="81"/>
      <c r="BAI14" s="82"/>
      <c r="BAJ14" s="82"/>
      <c r="BAK14" s="82"/>
      <c r="BAL14" s="182" t="s">
        <v>17</v>
      </c>
      <c r="BAM14" s="182"/>
      <c r="BAN14" s="182"/>
      <c r="BAO14" s="182"/>
      <c r="BAP14" s="82"/>
      <c r="BAQ14" s="82"/>
      <c r="BAR14" s="183" t="s">
        <v>18</v>
      </c>
      <c r="BAS14" s="183"/>
      <c r="BAT14" s="183"/>
      <c r="BAU14" s="183"/>
      <c r="BAV14" s="102"/>
      <c r="BAW14" s="102"/>
      <c r="BAX14" s="182" t="s">
        <v>19</v>
      </c>
      <c r="BAY14" s="182"/>
      <c r="BAZ14" s="182"/>
      <c r="BBA14" s="182"/>
      <c r="BBB14" s="82"/>
      <c r="BBC14" s="82"/>
      <c r="BBD14" s="183" t="s">
        <v>20</v>
      </c>
      <c r="BBE14" s="183"/>
      <c r="BBF14" s="183"/>
      <c r="BBG14" s="183"/>
      <c r="BBH14" s="102"/>
      <c r="BBI14" s="102"/>
      <c r="BBJ14" s="182" t="s">
        <v>21</v>
      </c>
      <c r="BBK14" s="182"/>
      <c r="BBL14" s="182"/>
      <c r="BBM14" s="182"/>
      <c r="BBN14" s="82"/>
      <c r="BBO14" s="82"/>
      <c r="BBP14" s="183" t="s">
        <v>22</v>
      </c>
      <c r="BBQ14" s="183"/>
      <c r="BBR14" s="183"/>
      <c r="BBS14" s="183"/>
      <c r="BBT14" s="102"/>
      <c r="BBU14" s="102"/>
      <c r="BBV14" s="182" t="s">
        <v>23</v>
      </c>
      <c r="BBW14" s="182"/>
      <c r="BBX14" s="182"/>
      <c r="BBY14" s="182"/>
      <c r="BBZ14" s="82"/>
      <c r="BCA14" s="82"/>
      <c r="BCB14" s="183" t="s">
        <v>24</v>
      </c>
      <c r="BCC14" s="183"/>
      <c r="BCD14" s="183"/>
      <c r="BCE14" s="183"/>
      <c r="BCF14" s="102"/>
      <c r="BCG14" s="102"/>
      <c r="BCH14" s="182" t="s">
        <v>25</v>
      </c>
      <c r="BCI14" s="182"/>
      <c r="BCJ14" s="182"/>
      <c r="BCK14" s="182"/>
      <c r="BCL14" s="82"/>
      <c r="BCM14" s="82"/>
      <c r="BCN14" s="82"/>
      <c r="BCO14" s="83"/>
      <c r="BCP14" s="81"/>
      <c r="BCQ14" s="82"/>
      <c r="BCR14" s="82"/>
      <c r="BCS14" s="82"/>
      <c r="BCT14" s="182" t="s">
        <v>17</v>
      </c>
      <c r="BCU14" s="182"/>
      <c r="BCV14" s="182"/>
      <c r="BCW14" s="182"/>
      <c r="BCX14" s="82"/>
      <c r="BCY14" s="82"/>
      <c r="BCZ14" s="183" t="s">
        <v>18</v>
      </c>
      <c r="BDA14" s="183"/>
      <c r="BDB14" s="183"/>
      <c r="BDC14" s="183"/>
      <c r="BDD14" s="102"/>
      <c r="BDE14" s="102"/>
      <c r="BDF14" s="182" t="s">
        <v>19</v>
      </c>
      <c r="BDG14" s="182"/>
      <c r="BDH14" s="182"/>
      <c r="BDI14" s="182"/>
      <c r="BDJ14" s="82"/>
      <c r="BDK14" s="82"/>
      <c r="BDL14" s="183" t="s">
        <v>20</v>
      </c>
      <c r="BDM14" s="183"/>
      <c r="BDN14" s="183"/>
      <c r="BDO14" s="183"/>
      <c r="BDP14" s="102"/>
      <c r="BDQ14" s="102"/>
      <c r="BDR14" s="182" t="s">
        <v>21</v>
      </c>
      <c r="BDS14" s="182"/>
      <c r="BDT14" s="182"/>
      <c r="BDU14" s="182"/>
      <c r="BDV14" s="82"/>
      <c r="BDW14" s="82"/>
      <c r="BDX14" s="183" t="s">
        <v>22</v>
      </c>
      <c r="BDY14" s="183"/>
      <c r="BDZ14" s="183"/>
      <c r="BEA14" s="183"/>
      <c r="BEB14" s="102"/>
      <c r="BEC14" s="102"/>
      <c r="BED14" s="182" t="s">
        <v>23</v>
      </c>
      <c r="BEE14" s="182"/>
      <c r="BEF14" s="182"/>
      <c r="BEG14" s="182"/>
      <c r="BEH14" s="82"/>
      <c r="BEI14" s="82"/>
      <c r="BEJ14" s="183" t="s">
        <v>24</v>
      </c>
      <c r="BEK14" s="183"/>
      <c r="BEL14" s="183"/>
      <c r="BEM14" s="183"/>
      <c r="BEN14" s="102"/>
      <c r="BEO14" s="102"/>
      <c r="BEP14" s="182" t="s">
        <v>25</v>
      </c>
      <c r="BEQ14" s="182"/>
      <c r="BER14" s="182"/>
      <c r="BES14" s="182"/>
      <c r="BET14" s="82"/>
      <c r="BEU14" s="82"/>
      <c r="BEV14" s="82"/>
      <c r="BEW14" s="83"/>
      <c r="BEX14" s="81"/>
      <c r="BEY14" s="82"/>
      <c r="BEZ14" s="82"/>
      <c r="BFA14" s="82"/>
      <c r="BFB14" s="182" t="s">
        <v>17</v>
      </c>
      <c r="BFC14" s="182"/>
      <c r="BFD14" s="182"/>
      <c r="BFE14" s="182"/>
      <c r="BFF14" s="82"/>
      <c r="BFG14" s="82"/>
      <c r="BFH14" s="183" t="s">
        <v>18</v>
      </c>
      <c r="BFI14" s="183"/>
      <c r="BFJ14" s="183"/>
      <c r="BFK14" s="183"/>
      <c r="BFL14" s="102"/>
      <c r="BFM14" s="102"/>
      <c r="BFN14" s="182" t="s">
        <v>19</v>
      </c>
      <c r="BFO14" s="182"/>
      <c r="BFP14" s="182"/>
      <c r="BFQ14" s="182"/>
      <c r="BFR14" s="82"/>
      <c r="BFS14" s="82"/>
      <c r="BFT14" s="183" t="s">
        <v>20</v>
      </c>
      <c r="BFU14" s="183"/>
      <c r="BFV14" s="183"/>
      <c r="BFW14" s="183"/>
      <c r="BFX14" s="102"/>
      <c r="BFY14" s="102"/>
      <c r="BFZ14" s="182" t="s">
        <v>21</v>
      </c>
      <c r="BGA14" s="182"/>
      <c r="BGB14" s="182"/>
      <c r="BGC14" s="182"/>
      <c r="BGD14" s="82"/>
      <c r="BGE14" s="82"/>
      <c r="BGF14" s="183" t="s">
        <v>22</v>
      </c>
      <c r="BGG14" s="183"/>
      <c r="BGH14" s="183"/>
      <c r="BGI14" s="183"/>
      <c r="BGJ14" s="102"/>
      <c r="BGK14" s="102"/>
      <c r="BGL14" s="182" t="s">
        <v>23</v>
      </c>
      <c r="BGM14" s="182"/>
      <c r="BGN14" s="182"/>
      <c r="BGO14" s="182"/>
      <c r="BGP14" s="82"/>
      <c r="BGQ14" s="82"/>
      <c r="BGR14" s="183" t="s">
        <v>24</v>
      </c>
      <c r="BGS14" s="183"/>
      <c r="BGT14" s="183"/>
      <c r="BGU14" s="183"/>
      <c r="BGV14" s="102"/>
      <c r="BGW14" s="102"/>
      <c r="BGX14" s="182" t="s">
        <v>25</v>
      </c>
      <c r="BGY14" s="182"/>
      <c r="BGZ14" s="182"/>
      <c r="BHA14" s="182"/>
      <c r="BHB14" s="82"/>
      <c r="BHC14" s="82"/>
      <c r="BHD14" s="82"/>
      <c r="BHE14" s="83"/>
      <c r="BHF14" s="81"/>
      <c r="BHG14" s="82"/>
      <c r="BHH14" s="82"/>
      <c r="BHI14" s="82"/>
      <c r="BHJ14" s="182" t="s">
        <v>17</v>
      </c>
      <c r="BHK14" s="182"/>
      <c r="BHL14" s="182"/>
      <c r="BHM14" s="182"/>
      <c r="BHN14" s="82"/>
      <c r="BHO14" s="82"/>
      <c r="BHP14" s="183" t="s">
        <v>18</v>
      </c>
      <c r="BHQ14" s="183"/>
      <c r="BHR14" s="183"/>
      <c r="BHS14" s="183"/>
      <c r="BHT14" s="102"/>
      <c r="BHU14" s="102"/>
      <c r="BHV14" s="182" t="s">
        <v>19</v>
      </c>
      <c r="BHW14" s="182"/>
      <c r="BHX14" s="182"/>
      <c r="BHY14" s="182"/>
      <c r="BHZ14" s="82"/>
      <c r="BIA14" s="82"/>
      <c r="BIB14" s="183" t="s">
        <v>20</v>
      </c>
      <c r="BIC14" s="183"/>
      <c r="BID14" s="183"/>
      <c r="BIE14" s="183"/>
      <c r="BIF14" s="102"/>
      <c r="BIG14" s="102"/>
      <c r="BIH14" s="182" t="s">
        <v>21</v>
      </c>
      <c r="BII14" s="182"/>
      <c r="BIJ14" s="182"/>
      <c r="BIK14" s="182"/>
      <c r="BIL14" s="82"/>
      <c r="BIM14" s="82"/>
      <c r="BIN14" s="183" t="s">
        <v>22</v>
      </c>
      <c r="BIO14" s="183"/>
      <c r="BIP14" s="183"/>
      <c r="BIQ14" s="183"/>
      <c r="BIR14" s="102"/>
      <c r="BIS14" s="102"/>
      <c r="BIT14" s="182" t="s">
        <v>23</v>
      </c>
      <c r="BIU14" s="182"/>
      <c r="BIV14" s="182"/>
      <c r="BIW14" s="182"/>
      <c r="BIX14" s="82"/>
      <c r="BIY14" s="82"/>
      <c r="BIZ14" s="183" t="s">
        <v>24</v>
      </c>
      <c r="BJA14" s="183"/>
      <c r="BJB14" s="183"/>
      <c r="BJC14" s="183"/>
      <c r="BJD14" s="102"/>
      <c r="BJE14" s="102"/>
      <c r="BJF14" s="182" t="s">
        <v>25</v>
      </c>
      <c r="BJG14" s="182"/>
      <c r="BJH14" s="182"/>
      <c r="BJI14" s="182"/>
      <c r="BJJ14" s="82"/>
      <c r="BJK14" s="82"/>
      <c r="BJL14" s="82"/>
      <c r="BJM14" s="83"/>
      <c r="BJN14" s="73"/>
    </row>
    <row r="15" spans="1:1626" ht="20.100000000000001" customHeight="1" x14ac:dyDescent="0.25">
      <c r="A15" s="78" t="s">
        <v>26</v>
      </c>
      <c r="B15" s="51" t="str">
        <f>IF(LEN(C15)=0,"",C15)</f>
        <v xml:space="preserve">Absences - Imprévus </v>
      </c>
      <c r="C15" s="203"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185"/>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184"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185"/>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184"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185"/>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184"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185"/>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184"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185"/>
      <c r="D24" s="120" t="str">
        <f t="shared" si="0"/>
        <v>1h 15 min</v>
      </c>
      <c r="E24" s="22">
        <v>15</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163"/>
      <c r="YQ24" s="164"/>
      <c r="YR24" s="164"/>
      <c r="YS24" s="164"/>
      <c r="YT24" s="164"/>
      <c r="YU24" s="165"/>
      <c r="YV24" s="164"/>
      <c r="YW24" s="164"/>
      <c r="YX24" s="164"/>
      <c r="YY24" s="164"/>
      <c r="YZ24" s="164"/>
      <c r="ZA24" s="166"/>
      <c r="ZB24" s="164"/>
      <c r="ZC24" s="164"/>
      <c r="ZD24" s="16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184"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190"/>
      <c r="D26" s="121" t="str">
        <f t="shared" si="0"/>
        <v>1h 15 min</v>
      </c>
      <c r="E26" s="30">
        <v>15</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168"/>
      <c r="ZF26" s="168"/>
      <c r="ZG26" s="169"/>
      <c r="ZH26" s="168"/>
      <c r="ZI26" s="168"/>
      <c r="ZJ26" s="168"/>
      <c r="ZK26" s="168"/>
      <c r="ZL26" s="168"/>
      <c r="ZM26" s="172"/>
      <c r="ZN26" s="168"/>
      <c r="ZO26" s="168"/>
      <c r="ZP26" s="168"/>
      <c r="ZQ26" s="168"/>
      <c r="ZR26" s="168"/>
      <c r="ZS26" s="169"/>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184"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190"/>
      <c r="D28" s="121" t="str">
        <f t="shared" si="0"/>
        <v>1h 15 min</v>
      </c>
      <c r="E28" s="22">
        <v>15</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66"/>
      <c r="ADR28" s="164"/>
      <c r="ADS28" s="164"/>
      <c r="ADT28" s="164"/>
      <c r="ADU28" s="164"/>
      <c r="ADV28" s="164"/>
      <c r="ADW28" s="167"/>
      <c r="ADX28" s="164"/>
      <c r="ADY28" s="164"/>
      <c r="ADZ28" s="164"/>
      <c r="AEA28" s="164"/>
      <c r="AEB28" s="164"/>
      <c r="AEC28" s="166"/>
      <c r="AED28" s="164"/>
      <c r="AEE28" s="16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184"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185"/>
      <c r="D30" s="121" t="str">
        <f t="shared" si="0"/>
        <v>2h 30 min</v>
      </c>
      <c r="E30" s="30">
        <v>30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184"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185"/>
      <c r="D32" s="121" t="str">
        <f t="shared" si="0"/>
        <v xml:space="preserve"> 30 min</v>
      </c>
      <c r="E32" s="22">
        <v>6</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163"/>
      <c r="ADG32" s="164"/>
      <c r="ADH32" s="164"/>
      <c r="ADI32" s="164"/>
      <c r="ADJ32" s="164"/>
      <c r="ADK32" s="165"/>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184"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185"/>
      <c r="D34" s="121" t="str">
        <f t="shared" si="0"/>
        <v>1h 55 min</v>
      </c>
      <c r="E34" s="30">
        <v>23</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168"/>
      <c r="ABF34" s="168"/>
      <c r="ABG34" s="168"/>
      <c r="ABH34" s="168"/>
      <c r="ABI34" s="172"/>
      <c r="ABJ34" s="168"/>
      <c r="ABK34" s="168"/>
      <c r="ABL34" s="168"/>
      <c r="ABM34" s="168"/>
      <c r="ABN34" s="168"/>
      <c r="ABO34" s="169"/>
      <c r="ABP34" s="168"/>
      <c r="ABQ34" s="168"/>
      <c r="ABR34" s="168"/>
      <c r="ABS34" s="168"/>
      <c r="ABT34" s="168"/>
      <c r="ABU34" s="172"/>
      <c r="ABV34" s="168"/>
      <c r="ABW34" s="168"/>
      <c r="ABX34" s="168"/>
      <c r="ABY34" s="168"/>
      <c r="ABZ34" s="168"/>
      <c r="ACA34" s="169"/>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184"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185"/>
      <c r="D36" s="120" t="str">
        <f t="shared" si="0"/>
        <v>1h 35 min</v>
      </c>
      <c r="E36" s="22">
        <v>19</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164"/>
      <c r="UI36" s="164"/>
      <c r="UJ36" s="164"/>
      <c r="UK36" s="166"/>
      <c r="UL36" s="164"/>
      <c r="UM36" s="164"/>
      <c r="UN36" s="164"/>
      <c r="UO36" s="164"/>
      <c r="UP36" s="164"/>
      <c r="UQ36" s="167"/>
      <c r="UR36" s="164"/>
      <c r="US36" s="164"/>
      <c r="UT36" s="164"/>
      <c r="UU36" s="164"/>
      <c r="UV36" s="164"/>
      <c r="UW36" s="166"/>
      <c r="UX36" s="164"/>
      <c r="UY36" s="164"/>
      <c r="UZ36" s="16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184"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185"/>
      <c r="D38" s="121" t="str">
        <f t="shared" si="0"/>
        <v>1h 30 min</v>
      </c>
      <c r="E38" s="30">
        <v>18</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170"/>
      <c r="WI38" s="168"/>
      <c r="WJ38" s="168"/>
      <c r="WK38" s="168"/>
      <c r="WL38" s="168"/>
      <c r="WM38" s="171"/>
      <c r="WN38" s="168"/>
      <c r="WO38" s="168"/>
      <c r="WP38" s="168"/>
      <c r="WQ38" s="168"/>
      <c r="WR38" s="168"/>
      <c r="WS38" s="172"/>
      <c r="WT38" s="168"/>
      <c r="WU38" s="168"/>
      <c r="WV38" s="168"/>
      <c r="WW38" s="168"/>
      <c r="WX38" s="168"/>
      <c r="WY38" s="169"/>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184"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190"/>
      <c r="D40" s="120" t="str">
        <f t="shared" si="0"/>
        <v>1h</v>
      </c>
      <c r="E40" s="22">
        <v>12</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164"/>
      <c r="ZU40" s="164"/>
      <c r="ZV40" s="164"/>
      <c r="ZW40" s="164"/>
      <c r="ZX40" s="16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163"/>
      <c r="AAY40" s="164"/>
      <c r="AAZ40" s="164"/>
      <c r="ABA40" s="164"/>
      <c r="ABB40" s="164"/>
      <c r="ABC40" s="165"/>
      <c r="ABD40" s="16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184"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185"/>
      <c r="D42" s="121" t="str">
        <f t="shared" si="0"/>
        <v xml:space="preserve"> 40 min</v>
      </c>
      <c r="E42" s="30">
        <v>8</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168"/>
      <c r="ADM42" s="168"/>
      <c r="ADN42" s="168"/>
      <c r="ADO42" s="168"/>
      <c r="ADP42" s="168"/>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170"/>
      <c r="AFO42" s="168"/>
      <c r="AFP42" s="168"/>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184"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190"/>
      <c r="D44" s="121" t="str">
        <f t="shared" si="0"/>
        <v xml:space="preserve"> 40 min</v>
      </c>
      <c r="E44" s="30">
        <v>8</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168"/>
      <c r="ACC44" s="168"/>
      <c r="ACD44" s="168"/>
      <c r="ACE44" s="168"/>
      <c r="ACF44" s="168"/>
      <c r="ACG44" s="172"/>
      <c r="ACH44" s="168"/>
      <c r="ACI44" s="168"/>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184"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185"/>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184"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190"/>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184"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185"/>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184"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185"/>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184"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190"/>
      <c r="D54" s="121" t="str">
        <f t="shared" si="0"/>
        <v>1h 40 min</v>
      </c>
      <c r="E54" s="30">
        <v>20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168"/>
      <c r="TC54" s="168"/>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168"/>
      <c r="VB54" s="168"/>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72"/>
      <c r="ZZ54" s="168"/>
      <c r="AAA54" s="168"/>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168"/>
      <c r="AEG54" s="168"/>
      <c r="AEH54" s="168"/>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184"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185"/>
      <c r="D56" s="120" t="str">
        <f t="shared" si="0"/>
        <v>13h 35 min</v>
      </c>
      <c r="E56" s="22">
        <v>163</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3"/>
      <c r="UA56" s="164"/>
      <c r="UB56" s="164"/>
      <c r="UC56" s="164"/>
      <c r="UD56" s="164"/>
      <c r="UE56" s="165"/>
      <c r="UF56" s="164"/>
      <c r="UG56" s="16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184"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185"/>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184"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185"/>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184"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190"/>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184"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185"/>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184"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185"/>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184"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190"/>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184"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190"/>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184"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190"/>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184"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185"/>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184"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190"/>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184"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185"/>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184"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185"/>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184"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190"/>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184"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185"/>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184"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185"/>
      <c r="D86" s="121" t="str">
        <f t="shared" si="1"/>
        <v>7h 50 min</v>
      </c>
      <c r="E86" s="30">
        <v>94</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163"/>
      <c r="RS86" s="164"/>
      <c r="RT86" s="164"/>
      <c r="RU86" s="164"/>
      <c r="RV86" s="164"/>
      <c r="RW86" s="165"/>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184"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185"/>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184"/>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185"/>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184"/>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185"/>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184"/>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190"/>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86" t="s">
        <v>31</v>
      </c>
      <c r="D95" s="187"/>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88"/>
      <c r="D96" s="189"/>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78" t="s">
        <v>32</v>
      </c>
      <c r="D97" s="179"/>
      <c r="E97" s="93">
        <f>SUM(E16,E18,E20,E22,E24,E26,E28,E30,E32,E34,E36,E38,E40,E42,E44,E46,E48,E50,E52,E54,E56,E58,E60,E62,E64,E66,E68,E70,E72,E74,E76,E78,E80,E82,E84,E86,E88,E90,E92,E94)</f>
        <v>537</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180"/>
      <c r="D98" s="181"/>
      <c r="E98" s="97" t="str">
        <f xml:space="preserve"> setValueToTime(E97)</f>
        <v>44h 45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164"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17" t="s">
        <v>38</v>
      </c>
      <c r="G3" s="218"/>
      <c r="H3" s="151"/>
    </row>
    <row r="4" spans="1:8" s="43" customFormat="1" x14ac:dyDescent="0.3">
      <c r="B4" s="40" t="s">
        <v>59</v>
      </c>
      <c r="C4" s="41">
        <v>13</v>
      </c>
      <c r="D4" s="125" t="str">
        <f xml:space="preserve"> IF(C4="","",setValueToTime(C4))</f>
        <v>1h 5 min</v>
      </c>
      <c r="E4" s="42"/>
      <c r="F4" s="219"/>
      <c r="G4" s="220"/>
      <c r="H4" s="152"/>
    </row>
    <row r="5" spans="1:8" s="43" customFormat="1" ht="27" x14ac:dyDescent="0.3">
      <c r="B5" s="44" t="s">
        <v>71</v>
      </c>
      <c r="C5" s="45">
        <v>6</v>
      </c>
      <c r="D5" s="126" t="str">
        <f t="shared" ref="D5:D11" si="0" xml:space="preserve"> IF(C5="","",setValueToTime(C5))</f>
        <v xml:space="preserve"> 30 min</v>
      </c>
      <c r="E5" s="46"/>
      <c r="F5" s="211"/>
      <c r="G5" s="212"/>
      <c r="H5" s="152"/>
    </row>
    <row r="6" spans="1:8" s="43" customFormat="1" x14ac:dyDescent="0.3">
      <c r="B6" s="44"/>
      <c r="C6" s="45"/>
      <c r="D6" s="126" t="str">
        <f t="shared" si="0"/>
        <v/>
      </c>
      <c r="E6" s="46"/>
      <c r="F6" s="211"/>
      <c r="G6" s="212"/>
      <c r="H6" s="152"/>
    </row>
    <row r="7" spans="1:8" s="43" customFormat="1" x14ac:dyDescent="0.3">
      <c r="B7" s="44"/>
      <c r="C7" s="45"/>
      <c r="D7" s="126" t="str">
        <f t="shared" si="0"/>
        <v/>
      </c>
      <c r="E7" s="46"/>
      <c r="F7" s="211"/>
      <c r="G7" s="212"/>
      <c r="H7" s="152"/>
    </row>
    <row r="8" spans="1:8" s="43" customFormat="1" x14ac:dyDescent="0.3">
      <c r="B8" s="44"/>
      <c r="C8" s="45"/>
      <c r="D8" s="127" t="str">
        <f t="shared" si="0"/>
        <v/>
      </c>
      <c r="E8" s="46"/>
      <c r="F8" s="211"/>
      <c r="G8" s="212"/>
      <c r="H8" s="152"/>
    </row>
    <row r="9" spans="1:8" s="43" customFormat="1" x14ac:dyDescent="0.3">
      <c r="B9" s="44"/>
      <c r="C9" s="45"/>
      <c r="D9" s="127" t="str">
        <f t="shared" si="0"/>
        <v/>
      </c>
      <c r="E9" s="46"/>
      <c r="F9" s="211"/>
      <c r="G9" s="212"/>
      <c r="H9" s="152"/>
    </row>
    <row r="10" spans="1:8" s="43" customFormat="1" x14ac:dyDescent="0.3">
      <c r="B10" s="44"/>
      <c r="C10" s="45"/>
      <c r="D10" s="127" t="str">
        <f t="shared" si="0"/>
        <v/>
      </c>
      <c r="E10" s="46"/>
      <c r="F10" s="211"/>
      <c r="G10" s="212"/>
      <c r="H10" s="152"/>
    </row>
    <row r="11" spans="1:8" s="43" customFormat="1" ht="15" thickBot="1" x14ac:dyDescent="0.35">
      <c r="B11" s="44"/>
      <c r="C11" s="47"/>
      <c r="D11" s="128" t="str">
        <f t="shared" si="0"/>
        <v/>
      </c>
      <c r="E11" s="48"/>
      <c r="F11" s="213"/>
      <c r="G11" s="214"/>
      <c r="H11" s="152"/>
    </row>
    <row r="12" spans="1:8" s="43" customFormat="1" ht="15" thickBot="1" x14ac:dyDescent="0.35">
      <c r="B12" s="86" t="s">
        <v>40</v>
      </c>
      <c r="C12" s="67">
        <f>SUM(C4:C11)</f>
        <v>19</v>
      </c>
      <c r="D12" s="86" t="str">
        <f xml:space="preserve"> setValueToTime(C12)</f>
        <v>1h 35 min</v>
      </c>
      <c r="E12" s="95"/>
      <c r="F12" s="215"/>
      <c r="G12" s="216"/>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17" t="s">
        <v>38</v>
      </c>
      <c r="G15" s="218"/>
      <c r="H15" s="151"/>
    </row>
    <row r="16" spans="1:8" s="43" customFormat="1" x14ac:dyDescent="0.3">
      <c r="B16" s="40" t="s">
        <v>30</v>
      </c>
      <c r="C16" s="41">
        <v>25</v>
      </c>
      <c r="D16" s="125" t="str">
        <f xml:space="preserve"> IF(C16="","",setValueToTime(C16))</f>
        <v>2h 5 min</v>
      </c>
      <c r="E16" s="42"/>
      <c r="F16" s="219"/>
      <c r="G16" s="220"/>
      <c r="H16" s="152"/>
    </row>
    <row r="17" spans="2:8" s="43" customFormat="1" x14ac:dyDescent="0.3">
      <c r="B17" s="44" t="s">
        <v>59</v>
      </c>
      <c r="C17" s="45">
        <v>9</v>
      </c>
      <c r="D17" s="126" t="str">
        <f t="shared" ref="D17:D23" si="1" xml:space="preserve"> IF(C17="","",setValueToTime(C17))</f>
        <v xml:space="preserve"> 45 min</v>
      </c>
      <c r="E17" s="46"/>
      <c r="F17" s="211"/>
      <c r="G17" s="212"/>
      <c r="H17" s="152"/>
    </row>
    <row r="18" spans="2:8" s="43" customFormat="1" x14ac:dyDescent="0.3">
      <c r="B18" s="44" t="s">
        <v>29</v>
      </c>
      <c r="C18" s="45">
        <v>4</v>
      </c>
      <c r="D18" s="126" t="str">
        <f t="shared" ref="D18" si="2" xml:space="preserve"> IF(C18="","",setValueToTime(C18))</f>
        <v xml:space="preserve"> 20 min</v>
      </c>
      <c r="E18" s="46"/>
      <c r="F18" s="211"/>
      <c r="G18" s="212"/>
      <c r="H18" s="152"/>
    </row>
    <row r="19" spans="2:8" s="43" customFormat="1" x14ac:dyDescent="0.3">
      <c r="B19" s="44"/>
      <c r="C19" s="45"/>
      <c r="D19" s="126" t="str">
        <f t="shared" si="1"/>
        <v/>
      </c>
      <c r="E19" s="46"/>
      <c r="F19" s="211"/>
      <c r="G19" s="212"/>
      <c r="H19" s="152"/>
    </row>
    <row r="20" spans="2:8" s="43" customFormat="1" x14ac:dyDescent="0.3">
      <c r="B20" s="44"/>
      <c r="C20" s="45"/>
      <c r="D20" s="127" t="str">
        <f t="shared" si="1"/>
        <v/>
      </c>
      <c r="E20" s="46"/>
      <c r="F20" s="211"/>
      <c r="G20" s="212"/>
      <c r="H20" s="152"/>
    </row>
    <row r="21" spans="2:8" s="43" customFormat="1" x14ac:dyDescent="0.3">
      <c r="B21" s="44"/>
      <c r="C21" s="45"/>
      <c r="D21" s="127" t="str">
        <f t="shared" si="1"/>
        <v/>
      </c>
      <c r="E21" s="46"/>
      <c r="F21" s="211"/>
      <c r="G21" s="212"/>
      <c r="H21" s="152"/>
    </row>
    <row r="22" spans="2:8" s="43" customFormat="1" x14ac:dyDescent="0.3">
      <c r="B22" s="44"/>
      <c r="C22" s="45"/>
      <c r="D22" s="127" t="str">
        <f t="shared" si="1"/>
        <v/>
      </c>
      <c r="E22" s="46"/>
      <c r="F22" s="211"/>
      <c r="G22" s="212"/>
      <c r="H22" s="152"/>
    </row>
    <row r="23" spans="2:8" s="43" customFormat="1" ht="15" thickBot="1" x14ac:dyDescent="0.35">
      <c r="B23" s="44"/>
      <c r="C23" s="47"/>
      <c r="D23" s="128" t="str">
        <f t="shared" si="1"/>
        <v/>
      </c>
      <c r="E23" s="48"/>
      <c r="F23" s="213"/>
      <c r="G23" s="214"/>
      <c r="H23" s="152"/>
    </row>
    <row r="24" spans="2:8" s="43" customFormat="1" ht="15" thickBot="1" x14ac:dyDescent="0.35">
      <c r="B24" s="86" t="s">
        <v>40</v>
      </c>
      <c r="C24" s="67">
        <f>SUM(C16:C23)</f>
        <v>38</v>
      </c>
      <c r="D24" s="86" t="str">
        <f xml:space="preserve"> setValueToTime(C24)</f>
        <v>3h 10 min</v>
      </c>
      <c r="E24" s="95"/>
      <c r="F24" s="215"/>
      <c r="G24" s="216"/>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17" t="s">
        <v>38</v>
      </c>
      <c r="G27" s="218"/>
      <c r="H27" s="151"/>
    </row>
    <row r="28" spans="2:8" s="43" customFormat="1" x14ac:dyDescent="0.3">
      <c r="B28" s="40" t="s">
        <v>30</v>
      </c>
      <c r="C28" s="41">
        <v>48</v>
      </c>
      <c r="D28" s="125" t="str">
        <f xml:space="preserve"> IF(C28="","",setValueToTime(C28))</f>
        <v>4h</v>
      </c>
      <c r="E28" s="42"/>
      <c r="F28" s="219"/>
      <c r="G28" s="220"/>
      <c r="H28" s="152"/>
    </row>
    <row r="29" spans="2:8" s="43" customFormat="1" x14ac:dyDescent="0.3">
      <c r="B29" s="44"/>
      <c r="C29" s="45"/>
      <c r="D29" s="126" t="str">
        <f t="shared" ref="D29:D35" si="3" xml:space="preserve"> IF(C29="","",setValueToTime(C29))</f>
        <v/>
      </c>
      <c r="E29" s="46"/>
      <c r="F29" s="211"/>
      <c r="G29" s="212"/>
      <c r="H29" s="152"/>
    </row>
    <row r="30" spans="2:8" s="43" customFormat="1" x14ac:dyDescent="0.3">
      <c r="B30" s="44"/>
      <c r="C30" s="45"/>
      <c r="D30" s="126" t="str">
        <f t="shared" si="3"/>
        <v/>
      </c>
      <c r="E30" s="46"/>
      <c r="F30" s="211"/>
      <c r="G30" s="212"/>
      <c r="H30" s="152"/>
    </row>
    <row r="31" spans="2:8" s="43" customFormat="1" x14ac:dyDescent="0.3">
      <c r="B31" s="44"/>
      <c r="C31" s="45"/>
      <c r="D31" s="126" t="str">
        <f t="shared" si="3"/>
        <v/>
      </c>
      <c r="E31" s="46"/>
      <c r="F31" s="211"/>
      <c r="G31" s="212"/>
      <c r="H31" s="152"/>
    </row>
    <row r="32" spans="2:8" s="43" customFormat="1" x14ac:dyDescent="0.3">
      <c r="B32" s="44"/>
      <c r="C32" s="45"/>
      <c r="D32" s="127" t="str">
        <f t="shared" si="3"/>
        <v/>
      </c>
      <c r="E32" s="46"/>
      <c r="F32" s="211"/>
      <c r="G32" s="212"/>
      <c r="H32" s="152"/>
    </row>
    <row r="33" spans="2:8" s="43" customFormat="1" x14ac:dyDescent="0.3">
      <c r="B33" s="44"/>
      <c r="C33" s="45"/>
      <c r="D33" s="127" t="str">
        <f t="shared" si="3"/>
        <v/>
      </c>
      <c r="E33" s="46"/>
      <c r="F33" s="211"/>
      <c r="G33" s="212"/>
      <c r="H33" s="152"/>
    </row>
    <row r="34" spans="2:8" s="43" customFormat="1" x14ac:dyDescent="0.3">
      <c r="B34" s="44"/>
      <c r="C34" s="45"/>
      <c r="D34" s="127" t="str">
        <f t="shared" si="3"/>
        <v/>
      </c>
      <c r="E34" s="46"/>
      <c r="F34" s="211"/>
      <c r="G34" s="212"/>
      <c r="H34" s="152"/>
    </row>
    <row r="35" spans="2:8" s="43" customFormat="1" ht="15" thickBot="1" x14ac:dyDescent="0.35">
      <c r="B35" s="44"/>
      <c r="C35" s="47"/>
      <c r="D35" s="128" t="str">
        <f t="shared" si="3"/>
        <v/>
      </c>
      <c r="E35" s="48"/>
      <c r="F35" s="213"/>
      <c r="G35" s="214"/>
      <c r="H35" s="152"/>
    </row>
    <row r="36" spans="2:8" s="43" customFormat="1" ht="15" thickBot="1" x14ac:dyDescent="0.35">
      <c r="B36" s="86" t="s">
        <v>40</v>
      </c>
      <c r="C36" s="67">
        <f>SUM(C28:C35)</f>
        <v>48</v>
      </c>
      <c r="D36" s="86" t="str">
        <f xml:space="preserve"> setValueToTime(C36)</f>
        <v>4h</v>
      </c>
      <c r="E36" s="95"/>
      <c r="F36" s="215"/>
      <c r="G36" s="216"/>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17" t="s">
        <v>38</v>
      </c>
      <c r="G39" s="218"/>
      <c r="H39" s="151"/>
    </row>
    <row r="40" spans="2:8" s="43" customFormat="1" ht="27" x14ac:dyDescent="0.3">
      <c r="B40" s="40" t="s">
        <v>63</v>
      </c>
      <c r="C40" s="41">
        <v>31</v>
      </c>
      <c r="D40" s="125" t="str">
        <f xml:space="preserve"> IF(C40="","",setValueToTime(C40))</f>
        <v>2h 35 min</v>
      </c>
      <c r="E40" s="42"/>
      <c r="F40" s="219"/>
      <c r="G40" s="220"/>
      <c r="H40" s="152"/>
    </row>
    <row r="41" spans="2:8" s="43" customFormat="1" x14ac:dyDescent="0.3">
      <c r="B41" s="44" t="s">
        <v>30</v>
      </c>
      <c r="C41" s="45">
        <v>4</v>
      </c>
      <c r="D41" s="126" t="str">
        <f t="shared" ref="D41:D47" si="4" xml:space="preserve"> IF(C41="","",setValueToTime(C41))</f>
        <v xml:space="preserve"> 20 min</v>
      </c>
      <c r="E41" s="46"/>
      <c r="F41" s="211"/>
      <c r="G41" s="212"/>
      <c r="H41" s="152"/>
    </row>
    <row r="42" spans="2:8" s="43" customFormat="1" x14ac:dyDescent="0.3">
      <c r="B42" s="44" t="s">
        <v>29</v>
      </c>
      <c r="C42" s="45">
        <v>3</v>
      </c>
      <c r="D42" s="126" t="str">
        <f t="shared" si="4"/>
        <v xml:space="preserve"> 15 min</v>
      </c>
      <c r="E42" s="46"/>
      <c r="F42" s="211"/>
      <c r="G42" s="212"/>
      <c r="H42" s="152"/>
    </row>
    <row r="43" spans="2:8" s="43" customFormat="1" x14ac:dyDescent="0.3">
      <c r="B43" s="44"/>
      <c r="C43" s="45"/>
      <c r="D43" s="126" t="str">
        <f t="shared" si="4"/>
        <v/>
      </c>
      <c r="E43" s="46"/>
      <c r="F43" s="211"/>
      <c r="G43" s="212"/>
      <c r="H43" s="152"/>
    </row>
    <row r="44" spans="2:8" s="43" customFormat="1" x14ac:dyDescent="0.3">
      <c r="B44" s="44"/>
      <c r="C44" s="45"/>
      <c r="D44" s="127" t="str">
        <f t="shared" si="4"/>
        <v/>
      </c>
      <c r="E44" s="46"/>
      <c r="F44" s="211"/>
      <c r="G44" s="212"/>
      <c r="H44" s="152"/>
    </row>
    <row r="45" spans="2:8" s="43" customFormat="1" x14ac:dyDescent="0.3">
      <c r="B45" s="44"/>
      <c r="C45" s="45"/>
      <c r="D45" s="127" t="str">
        <f t="shared" si="4"/>
        <v/>
      </c>
      <c r="E45" s="46"/>
      <c r="F45" s="211"/>
      <c r="G45" s="212"/>
      <c r="H45" s="152"/>
    </row>
    <row r="46" spans="2:8" s="43" customFormat="1" x14ac:dyDescent="0.3">
      <c r="B46" s="44"/>
      <c r="C46" s="45"/>
      <c r="D46" s="127" t="str">
        <f t="shared" si="4"/>
        <v/>
      </c>
      <c r="E46" s="46"/>
      <c r="F46" s="211"/>
      <c r="G46" s="212"/>
      <c r="H46" s="152"/>
    </row>
    <row r="47" spans="2:8" s="43" customFormat="1" ht="15" thickBot="1" x14ac:dyDescent="0.35">
      <c r="B47" s="44"/>
      <c r="C47" s="47"/>
      <c r="D47" s="128" t="str">
        <f t="shared" si="4"/>
        <v/>
      </c>
      <c r="E47" s="48"/>
      <c r="F47" s="213"/>
      <c r="G47" s="214"/>
      <c r="H47" s="152"/>
    </row>
    <row r="48" spans="2:8" s="43" customFormat="1" ht="15" thickBot="1" x14ac:dyDescent="0.35">
      <c r="B48" s="86" t="s">
        <v>40</v>
      </c>
      <c r="C48" s="67">
        <f>SUM(C40:C47)</f>
        <v>38</v>
      </c>
      <c r="D48" s="86" t="str">
        <f xml:space="preserve"> setValueToTime(C48)</f>
        <v>3h 10 min</v>
      </c>
      <c r="E48" s="95"/>
      <c r="F48" s="215"/>
      <c r="G48" s="216"/>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17" t="s">
        <v>38</v>
      </c>
      <c r="G51" s="218"/>
      <c r="H51" s="151"/>
    </row>
    <row r="52" spans="2:8" s="43" customFormat="1" ht="27" x14ac:dyDescent="0.3">
      <c r="B52" s="40" t="s">
        <v>46</v>
      </c>
      <c r="C52" s="41">
        <v>18</v>
      </c>
      <c r="D52" s="125" t="str">
        <f xml:space="preserve"> IF(C52="","",setValueToTime(C52))</f>
        <v>1h 30 min</v>
      </c>
      <c r="E52" s="42"/>
      <c r="F52" s="219"/>
      <c r="G52" s="220"/>
      <c r="H52" s="152"/>
    </row>
    <row r="53" spans="2:8" s="43" customFormat="1" ht="27" x14ac:dyDescent="0.3">
      <c r="B53" s="44" t="s">
        <v>63</v>
      </c>
      <c r="C53" s="45">
        <v>30</v>
      </c>
      <c r="D53" s="126" t="str">
        <f xml:space="preserve"> IF(C53="","",setValueToTime(C53))</f>
        <v>2h 30 min</v>
      </c>
      <c r="E53" s="46"/>
      <c r="F53" s="211"/>
      <c r="G53" s="212"/>
      <c r="H53" s="152"/>
    </row>
    <row r="54" spans="2:8" s="43" customFormat="1" x14ac:dyDescent="0.3">
      <c r="B54" s="44"/>
      <c r="C54" s="45"/>
      <c r="D54" s="126" t="str">
        <f t="shared" ref="D54:D59" si="5" xml:space="preserve"> IF(C54="","",setValueToTime(C54))</f>
        <v/>
      </c>
      <c r="E54" s="46"/>
      <c r="F54" s="211"/>
      <c r="G54" s="212"/>
      <c r="H54" s="152"/>
    </row>
    <row r="55" spans="2:8" s="43" customFormat="1" x14ac:dyDescent="0.3">
      <c r="B55" s="44"/>
      <c r="C55" s="45"/>
      <c r="D55" s="126" t="str">
        <f t="shared" si="5"/>
        <v/>
      </c>
      <c r="E55" s="46"/>
      <c r="F55" s="211"/>
      <c r="G55" s="212"/>
      <c r="H55" s="152"/>
    </row>
    <row r="56" spans="2:8" s="43" customFormat="1" x14ac:dyDescent="0.3">
      <c r="B56" s="44"/>
      <c r="C56" s="45"/>
      <c r="D56" s="127" t="str">
        <f t="shared" si="5"/>
        <v/>
      </c>
      <c r="E56" s="46"/>
      <c r="F56" s="211"/>
      <c r="G56" s="212"/>
      <c r="H56" s="152"/>
    </row>
    <row r="57" spans="2:8" s="43" customFormat="1" x14ac:dyDescent="0.3">
      <c r="B57" s="44"/>
      <c r="C57" s="45"/>
      <c r="D57" s="127" t="str">
        <f t="shared" si="5"/>
        <v/>
      </c>
      <c r="E57" s="46"/>
      <c r="F57" s="211"/>
      <c r="G57" s="212"/>
      <c r="H57" s="152"/>
    </row>
    <row r="58" spans="2:8" s="43" customFormat="1" x14ac:dyDescent="0.3">
      <c r="B58" s="44"/>
      <c r="C58" s="45"/>
      <c r="D58" s="127" t="str">
        <f t="shared" si="5"/>
        <v/>
      </c>
      <c r="E58" s="46"/>
      <c r="F58" s="211"/>
      <c r="G58" s="212"/>
      <c r="H58" s="152"/>
    </row>
    <row r="59" spans="2:8" s="43" customFormat="1" ht="15" thickBot="1" x14ac:dyDescent="0.35">
      <c r="B59" s="44"/>
      <c r="C59" s="47"/>
      <c r="D59" s="128" t="str">
        <f t="shared" si="5"/>
        <v/>
      </c>
      <c r="E59" s="48"/>
      <c r="F59" s="213"/>
      <c r="G59" s="214"/>
      <c r="H59" s="152"/>
    </row>
    <row r="60" spans="2:8" s="43" customFormat="1" ht="15" thickBot="1" x14ac:dyDescent="0.35">
      <c r="B60" s="86" t="s">
        <v>40</v>
      </c>
      <c r="C60" s="67">
        <f>SUM(C52:C59)</f>
        <v>48</v>
      </c>
      <c r="D60" s="86" t="str">
        <f xml:space="preserve"> setValueToTime(C60)</f>
        <v>4h</v>
      </c>
      <c r="E60" s="95"/>
      <c r="F60" s="215"/>
      <c r="G60" s="216"/>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17" t="s">
        <v>38</v>
      </c>
      <c r="G63" s="218"/>
      <c r="H63" s="151"/>
    </row>
    <row r="64" spans="2:8" s="43" customFormat="1" ht="27" x14ac:dyDescent="0.3">
      <c r="B64" s="40" t="s">
        <v>46</v>
      </c>
      <c r="C64" s="41">
        <v>34</v>
      </c>
      <c r="D64" s="125" t="str">
        <f xml:space="preserve"> IF(C64="","",setValueToTime(C64))</f>
        <v>2h 50 min</v>
      </c>
      <c r="E64" s="42"/>
      <c r="F64" s="219"/>
      <c r="G64" s="220"/>
      <c r="H64" s="152"/>
    </row>
    <row r="65" spans="2:8" s="43" customFormat="1" x14ac:dyDescent="0.3">
      <c r="B65" s="44" t="s">
        <v>29</v>
      </c>
      <c r="C65" s="45">
        <v>4</v>
      </c>
      <c r="D65" s="126" t="str">
        <f t="shared" ref="D65:D71" si="6" xml:space="preserve"> IF(C65="","",setValueToTime(C65))</f>
        <v xml:space="preserve"> 20 min</v>
      </c>
      <c r="E65" s="46"/>
      <c r="F65" s="211"/>
      <c r="G65" s="212"/>
      <c r="H65" s="152"/>
    </row>
    <row r="66" spans="2:8" s="43" customFormat="1" x14ac:dyDescent="0.3">
      <c r="B66" s="44"/>
      <c r="C66" s="45"/>
      <c r="D66" s="126" t="str">
        <f t="shared" si="6"/>
        <v/>
      </c>
      <c r="E66" s="46"/>
      <c r="F66" s="211"/>
      <c r="G66" s="212"/>
      <c r="H66" s="152"/>
    </row>
    <row r="67" spans="2:8" s="43" customFormat="1" x14ac:dyDescent="0.3">
      <c r="B67" s="44"/>
      <c r="C67" s="45"/>
      <c r="D67" s="126" t="str">
        <f t="shared" si="6"/>
        <v/>
      </c>
      <c r="E67" s="46"/>
      <c r="F67" s="211"/>
      <c r="G67" s="212"/>
      <c r="H67" s="152"/>
    </row>
    <row r="68" spans="2:8" s="43" customFormat="1" x14ac:dyDescent="0.3">
      <c r="B68" s="44"/>
      <c r="C68" s="45"/>
      <c r="D68" s="127" t="str">
        <f t="shared" si="6"/>
        <v/>
      </c>
      <c r="E68" s="46"/>
      <c r="F68" s="211"/>
      <c r="G68" s="212"/>
      <c r="H68" s="152"/>
    </row>
    <row r="69" spans="2:8" s="43" customFormat="1" x14ac:dyDescent="0.3">
      <c r="B69" s="44"/>
      <c r="C69" s="45"/>
      <c r="D69" s="127" t="str">
        <f t="shared" si="6"/>
        <v/>
      </c>
      <c r="E69" s="46"/>
      <c r="F69" s="211"/>
      <c r="G69" s="212"/>
      <c r="H69" s="152"/>
    </row>
    <row r="70" spans="2:8" s="43" customFormat="1" x14ac:dyDescent="0.3">
      <c r="B70" s="44"/>
      <c r="C70" s="45"/>
      <c r="D70" s="127" t="str">
        <f t="shared" si="6"/>
        <v/>
      </c>
      <c r="E70" s="46"/>
      <c r="F70" s="211"/>
      <c r="G70" s="212"/>
      <c r="H70" s="152"/>
    </row>
    <row r="71" spans="2:8" s="43" customFormat="1" ht="15" thickBot="1" x14ac:dyDescent="0.35">
      <c r="B71" s="44"/>
      <c r="C71" s="47"/>
      <c r="D71" s="128" t="str">
        <f t="shared" si="6"/>
        <v/>
      </c>
      <c r="E71" s="48"/>
      <c r="F71" s="213"/>
      <c r="G71" s="214"/>
      <c r="H71" s="152"/>
    </row>
    <row r="72" spans="2:8" s="43" customFormat="1" ht="15" thickBot="1" x14ac:dyDescent="0.35">
      <c r="B72" s="86" t="s">
        <v>40</v>
      </c>
      <c r="C72" s="67">
        <f>SUM(C64:C71)</f>
        <v>38</v>
      </c>
      <c r="D72" s="86" t="str">
        <f xml:space="preserve"> setValueToTime(C72)</f>
        <v>3h 10 min</v>
      </c>
      <c r="E72" s="95"/>
      <c r="F72" s="215"/>
      <c r="G72" s="216"/>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17" t="s">
        <v>38</v>
      </c>
      <c r="G75" s="218"/>
      <c r="H75" s="151"/>
    </row>
    <row r="76" spans="2:8" s="43" customFormat="1" ht="40.5" x14ac:dyDescent="0.3">
      <c r="B76" s="40" t="s">
        <v>58</v>
      </c>
      <c r="C76" s="41">
        <v>18</v>
      </c>
      <c r="D76" s="125" t="str">
        <f xml:space="preserve"> IF(C76="","",setValueToTime(C76))</f>
        <v>1h 30 min</v>
      </c>
      <c r="E76" s="42"/>
      <c r="F76" s="219"/>
      <c r="G76" s="220"/>
      <c r="H76" s="152"/>
    </row>
    <row r="77" spans="2:8" s="43" customFormat="1" ht="27" x14ac:dyDescent="0.3">
      <c r="B77" s="44" t="s">
        <v>74</v>
      </c>
      <c r="C77" s="45">
        <v>9</v>
      </c>
      <c r="D77" s="126" t="str">
        <f t="shared" ref="D77:D83" si="7" xml:space="preserve"> IF(C77="","",setValueToTime(C77))</f>
        <v xml:space="preserve"> 45 min</v>
      </c>
      <c r="E77" s="46" t="s">
        <v>78</v>
      </c>
      <c r="F77" s="211"/>
      <c r="G77" s="212"/>
      <c r="H77" s="152"/>
    </row>
    <row r="78" spans="2:8" s="43" customFormat="1" x14ac:dyDescent="0.3">
      <c r="B78" s="44" t="s">
        <v>60</v>
      </c>
      <c r="C78" s="45">
        <v>6</v>
      </c>
      <c r="D78" s="126" t="str">
        <f t="shared" si="7"/>
        <v xml:space="preserve"> 30 min</v>
      </c>
      <c r="E78" s="46"/>
      <c r="F78" s="211"/>
      <c r="G78" s="212"/>
      <c r="H78" s="152"/>
    </row>
    <row r="79" spans="2:8" s="43" customFormat="1" x14ac:dyDescent="0.3">
      <c r="B79" s="44" t="s">
        <v>30</v>
      </c>
      <c r="C79" s="45">
        <v>15</v>
      </c>
      <c r="D79" s="126" t="str">
        <f t="shared" si="7"/>
        <v>1h 15 min</v>
      </c>
      <c r="E79" s="46"/>
      <c r="F79" s="211"/>
      <c r="G79" s="212"/>
      <c r="H79" s="152"/>
    </row>
    <row r="80" spans="2:8" s="43" customFormat="1" x14ac:dyDescent="0.3">
      <c r="B80" s="44"/>
      <c r="C80" s="45"/>
      <c r="D80" s="127" t="str">
        <f t="shared" si="7"/>
        <v/>
      </c>
      <c r="E80" s="46"/>
      <c r="F80" s="211"/>
      <c r="G80" s="212"/>
      <c r="H80" s="152"/>
    </row>
    <row r="81" spans="2:8" s="43" customFormat="1" x14ac:dyDescent="0.3">
      <c r="B81" s="44"/>
      <c r="C81" s="45"/>
      <c r="D81" s="127" t="str">
        <f t="shared" si="7"/>
        <v/>
      </c>
      <c r="E81" s="46"/>
      <c r="F81" s="211"/>
      <c r="G81" s="212"/>
      <c r="H81" s="152"/>
    </row>
    <row r="82" spans="2:8" s="43" customFormat="1" x14ac:dyDescent="0.3">
      <c r="B82" s="44"/>
      <c r="C82" s="45"/>
      <c r="D82" s="127" t="str">
        <f t="shared" si="7"/>
        <v/>
      </c>
      <c r="E82" s="46"/>
      <c r="F82" s="211"/>
      <c r="G82" s="212"/>
      <c r="H82" s="152"/>
    </row>
    <row r="83" spans="2:8" s="43" customFormat="1" ht="15" thickBot="1" x14ac:dyDescent="0.35">
      <c r="B83" s="44"/>
      <c r="C83" s="47"/>
      <c r="D83" s="128" t="str">
        <f t="shared" si="7"/>
        <v/>
      </c>
      <c r="E83" s="48"/>
      <c r="F83" s="213"/>
      <c r="G83" s="214"/>
      <c r="H83" s="152"/>
    </row>
    <row r="84" spans="2:8" s="43" customFormat="1" ht="15" thickBot="1" x14ac:dyDescent="0.35">
      <c r="B84" s="86" t="s">
        <v>40</v>
      </c>
      <c r="C84" s="67">
        <f>SUM(C76:C83)</f>
        <v>48</v>
      </c>
      <c r="D84" s="86" t="str">
        <f xml:space="preserve"> setValueToTime(C84)</f>
        <v>4h</v>
      </c>
      <c r="E84" s="95"/>
      <c r="F84" s="215"/>
      <c r="G84" s="216"/>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17" t="s">
        <v>38</v>
      </c>
      <c r="G87" s="218"/>
      <c r="H87" s="151"/>
    </row>
    <row r="88" spans="2:8" s="43" customFormat="1" ht="27" x14ac:dyDescent="0.3">
      <c r="B88" s="40" t="s">
        <v>56</v>
      </c>
      <c r="C88" s="41">
        <v>4</v>
      </c>
      <c r="D88" s="125" t="str">
        <f xml:space="preserve"> IF(C88="","",setValueToTime(C88))</f>
        <v xml:space="preserve"> 20 min</v>
      </c>
      <c r="E88" s="42"/>
      <c r="F88" s="219"/>
      <c r="G88" s="220"/>
      <c r="H88" s="152"/>
    </row>
    <row r="89" spans="2:8" s="43" customFormat="1" x14ac:dyDescent="0.3">
      <c r="B89" s="44" t="s">
        <v>55</v>
      </c>
      <c r="C89" s="45">
        <v>16</v>
      </c>
      <c r="D89" s="126" t="str">
        <f t="shared" ref="D89:D95" si="8" xml:space="preserve"> IF(C89="","",setValueToTime(C89))</f>
        <v>1h 20 min</v>
      </c>
      <c r="E89" s="46"/>
      <c r="F89" s="211"/>
      <c r="G89" s="212"/>
      <c r="H89" s="152"/>
    </row>
    <row r="90" spans="2:8" s="43" customFormat="1" ht="40.5" x14ac:dyDescent="0.3">
      <c r="B90" s="44" t="s">
        <v>58</v>
      </c>
      <c r="C90" s="45">
        <v>14</v>
      </c>
      <c r="D90" s="126" t="str">
        <f t="shared" si="8"/>
        <v>1h 10 min</v>
      </c>
      <c r="E90" s="46"/>
      <c r="F90" s="211"/>
      <c r="G90" s="212"/>
      <c r="H90" s="152"/>
    </row>
    <row r="91" spans="2:8" s="43" customFormat="1" x14ac:dyDescent="0.3">
      <c r="B91" s="44" t="s">
        <v>29</v>
      </c>
      <c r="C91" s="45">
        <v>4</v>
      </c>
      <c r="D91" s="126" t="str">
        <f t="shared" si="8"/>
        <v xml:space="preserve"> 20 min</v>
      </c>
      <c r="E91" s="46"/>
      <c r="F91" s="211"/>
      <c r="G91" s="212"/>
      <c r="H91" s="152"/>
    </row>
    <row r="92" spans="2:8" s="43" customFormat="1" x14ac:dyDescent="0.3">
      <c r="B92" s="44"/>
      <c r="C92" s="45"/>
      <c r="D92" s="127" t="str">
        <f t="shared" si="8"/>
        <v/>
      </c>
      <c r="E92" s="46"/>
      <c r="F92" s="211"/>
      <c r="G92" s="212"/>
      <c r="H92" s="152"/>
    </row>
    <row r="93" spans="2:8" s="43" customFormat="1" x14ac:dyDescent="0.3">
      <c r="B93" s="44"/>
      <c r="C93" s="45"/>
      <c r="D93" s="127" t="str">
        <f t="shared" si="8"/>
        <v/>
      </c>
      <c r="E93" s="46"/>
      <c r="F93" s="211"/>
      <c r="G93" s="212"/>
      <c r="H93" s="152"/>
    </row>
    <row r="94" spans="2:8" s="43" customFormat="1" x14ac:dyDescent="0.3">
      <c r="B94" s="44"/>
      <c r="C94" s="45"/>
      <c r="D94" s="127" t="str">
        <f t="shared" si="8"/>
        <v/>
      </c>
      <c r="E94" s="46"/>
      <c r="F94" s="211"/>
      <c r="G94" s="212"/>
      <c r="H94" s="152"/>
    </row>
    <row r="95" spans="2:8" s="43" customFormat="1" ht="15" thickBot="1" x14ac:dyDescent="0.35">
      <c r="B95" s="44"/>
      <c r="C95" s="47"/>
      <c r="D95" s="128" t="str">
        <f t="shared" si="8"/>
        <v/>
      </c>
      <c r="E95" s="48"/>
      <c r="F95" s="213"/>
      <c r="G95" s="214"/>
      <c r="H95" s="152"/>
    </row>
    <row r="96" spans="2:8" s="43" customFormat="1" ht="15" thickBot="1" x14ac:dyDescent="0.35">
      <c r="B96" s="86" t="s">
        <v>40</v>
      </c>
      <c r="C96" s="67">
        <f>SUM(C88:C95)</f>
        <v>38</v>
      </c>
      <c r="D96" s="86" t="str">
        <f xml:space="preserve"> setValueToTime(C96)</f>
        <v>3h 10 min</v>
      </c>
      <c r="E96" s="95"/>
      <c r="F96" s="215"/>
      <c r="G96" s="216"/>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17" t="s">
        <v>38</v>
      </c>
      <c r="G99" s="218"/>
      <c r="H99" s="151"/>
    </row>
    <row r="100" spans="2:8" s="43" customFormat="1" x14ac:dyDescent="0.3">
      <c r="B100" s="40" t="s">
        <v>30</v>
      </c>
      <c r="C100" s="41">
        <v>25</v>
      </c>
      <c r="D100" s="125" t="str">
        <f xml:space="preserve"> IF(C100="","",setValueToTime(C100))</f>
        <v>2h 5 min</v>
      </c>
      <c r="E100" s="42"/>
      <c r="F100" s="219"/>
      <c r="G100" s="220"/>
      <c r="H100" s="152"/>
    </row>
    <row r="101" spans="2:8" s="43" customFormat="1" ht="27" x14ac:dyDescent="0.3">
      <c r="B101" s="44" t="s">
        <v>57</v>
      </c>
      <c r="C101" s="45">
        <v>15</v>
      </c>
      <c r="D101" s="126" t="str">
        <f t="shared" ref="D101:D107" si="9" xml:space="preserve"> IF(C101="","",setValueToTime(C101))</f>
        <v>1h 15 min</v>
      </c>
      <c r="E101" s="46"/>
      <c r="F101" s="211"/>
      <c r="G101" s="212"/>
      <c r="H101" s="152"/>
    </row>
    <row r="102" spans="2:8" s="43" customFormat="1" ht="27" x14ac:dyDescent="0.3">
      <c r="B102" s="44" t="s">
        <v>56</v>
      </c>
      <c r="C102" s="45">
        <v>8</v>
      </c>
      <c r="D102" s="126" t="str">
        <f t="shared" si="9"/>
        <v xml:space="preserve"> 40 min</v>
      </c>
      <c r="E102" s="46"/>
      <c r="F102" s="211"/>
      <c r="G102" s="212"/>
      <c r="H102" s="152"/>
    </row>
    <row r="103" spans="2:8" s="43" customFormat="1" x14ac:dyDescent="0.3">
      <c r="B103" s="44"/>
      <c r="C103" s="45"/>
      <c r="D103" s="126" t="str">
        <f t="shared" si="9"/>
        <v/>
      </c>
      <c r="E103" s="46"/>
      <c r="F103" s="211"/>
      <c r="G103" s="212"/>
      <c r="H103" s="152"/>
    </row>
    <row r="104" spans="2:8" s="43" customFormat="1" x14ac:dyDescent="0.3">
      <c r="B104" s="44"/>
      <c r="C104" s="45"/>
      <c r="D104" s="127" t="str">
        <f t="shared" si="9"/>
        <v/>
      </c>
      <c r="E104" s="46"/>
      <c r="F104" s="211"/>
      <c r="G104" s="212"/>
      <c r="H104" s="152"/>
    </row>
    <row r="105" spans="2:8" s="43" customFormat="1" x14ac:dyDescent="0.3">
      <c r="B105" s="44"/>
      <c r="C105" s="45"/>
      <c r="D105" s="127" t="str">
        <f t="shared" si="9"/>
        <v/>
      </c>
      <c r="E105" s="46"/>
      <c r="F105" s="211"/>
      <c r="G105" s="212"/>
      <c r="H105" s="152"/>
    </row>
    <row r="106" spans="2:8" s="43" customFormat="1" x14ac:dyDescent="0.3">
      <c r="B106" s="44"/>
      <c r="C106" s="45"/>
      <c r="D106" s="127" t="str">
        <f t="shared" si="9"/>
        <v/>
      </c>
      <c r="E106" s="46"/>
      <c r="F106" s="211"/>
      <c r="G106" s="212"/>
      <c r="H106" s="152"/>
    </row>
    <row r="107" spans="2:8" s="43" customFormat="1" ht="15" thickBot="1" x14ac:dyDescent="0.35">
      <c r="B107" s="44"/>
      <c r="C107" s="47"/>
      <c r="D107" s="128" t="str">
        <f t="shared" si="9"/>
        <v/>
      </c>
      <c r="E107" s="48"/>
      <c r="F107" s="213"/>
      <c r="G107" s="214"/>
      <c r="H107" s="152"/>
    </row>
    <row r="108" spans="2:8" s="43" customFormat="1" ht="15" thickBot="1" x14ac:dyDescent="0.35">
      <c r="B108" s="86" t="s">
        <v>40</v>
      </c>
      <c r="C108" s="67">
        <f>SUM(C100:C107)</f>
        <v>48</v>
      </c>
      <c r="D108" s="86" t="str">
        <f xml:space="preserve"> setValueToTime(C108)</f>
        <v>4h</v>
      </c>
      <c r="E108" s="95"/>
      <c r="F108" s="215"/>
      <c r="G108" s="216"/>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17" t="s">
        <v>38</v>
      </c>
      <c r="G111" s="218"/>
      <c r="H111" s="151"/>
    </row>
    <row r="112" spans="2:8" s="43" customFormat="1" x14ac:dyDescent="0.3">
      <c r="B112" s="40" t="s">
        <v>72</v>
      </c>
      <c r="C112" s="41">
        <v>34</v>
      </c>
      <c r="D112" s="125" t="str">
        <f xml:space="preserve"> IF(C112="","",setValueToTime(C112))</f>
        <v>2h 50 min</v>
      </c>
      <c r="E112" s="42"/>
      <c r="F112" s="219"/>
      <c r="G112" s="220"/>
      <c r="H112" s="152"/>
    </row>
    <row r="113" spans="2:8" s="43" customFormat="1" x14ac:dyDescent="0.3">
      <c r="B113" s="44" t="s">
        <v>29</v>
      </c>
      <c r="C113" s="45">
        <v>4</v>
      </c>
      <c r="D113" s="126" t="str">
        <f t="shared" ref="D113:D119" si="10" xml:space="preserve"> IF(C113="","",setValueToTime(C113))</f>
        <v xml:space="preserve"> 20 min</v>
      </c>
      <c r="E113" s="46"/>
      <c r="F113" s="211"/>
      <c r="G113" s="212"/>
      <c r="H113" s="152"/>
    </row>
    <row r="114" spans="2:8" s="43" customFormat="1" x14ac:dyDescent="0.3">
      <c r="B114" s="44"/>
      <c r="C114" s="45"/>
      <c r="D114" s="126" t="str">
        <f t="shared" si="10"/>
        <v/>
      </c>
      <c r="E114" s="46"/>
      <c r="F114" s="211"/>
      <c r="G114" s="212"/>
      <c r="H114" s="152"/>
    </row>
    <row r="115" spans="2:8" s="43" customFormat="1" x14ac:dyDescent="0.3">
      <c r="B115" s="44"/>
      <c r="C115" s="45"/>
      <c r="D115" s="126" t="str">
        <f t="shared" si="10"/>
        <v/>
      </c>
      <c r="E115" s="46"/>
      <c r="F115" s="211"/>
      <c r="G115" s="212"/>
      <c r="H115" s="152"/>
    </row>
    <row r="116" spans="2:8" s="43" customFormat="1" x14ac:dyDescent="0.3">
      <c r="B116" s="44"/>
      <c r="C116" s="45"/>
      <c r="D116" s="127" t="str">
        <f t="shared" si="10"/>
        <v/>
      </c>
      <c r="E116" s="46"/>
      <c r="F116" s="211"/>
      <c r="G116" s="212"/>
      <c r="H116" s="152"/>
    </row>
    <row r="117" spans="2:8" s="43" customFormat="1" x14ac:dyDescent="0.3">
      <c r="B117" s="44"/>
      <c r="C117" s="45"/>
      <c r="D117" s="127" t="str">
        <f t="shared" si="10"/>
        <v/>
      </c>
      <c r="E117" s="46"/>
      <c r="F117" s="211"/>
      <c r="G117" s="212"/>
      <c r="H117" s="152"/>
    </row>
    <row r="118" spans="2:8" s="43" customFormat="1" x14ac:dyDescent="0.3">
      <c r="B118" s="44"/>
      <c r="C118" s="45"/>
      <c r="D118" s="127" t="str">
        <f t="shared" si="10"/>
        <v/>
      </c>
      <c r="E118" s="46"/>
      <c r="F118" s="211"/>
      <c r="G118" s="212"/>
      <c r="H118" s="152"/>
    </row>
    <row r="119" spans="2:8" s="43" customFormat="1" ht="15" thickBot="1" x14ac:dyDescent="0.35">
      <c r="B119" s="44"/>
      <c r="C119" s="47"/>
      <c r="D119" s="128" t="str">
        <f t="shared" si="10"/>
        <v/>
      </c>
      <c r="E119" s="48"/>
      <c r="F119" s="213"/>
      <c r="G119" s="214"/>
      <c r="H119" s="152"/>
    </row>
    <row r="120" spans="2:8" s="43" customFormat="1" ht="15" thickBot="1" x14ac:dyDescent="0.35">
      <c r="B120" s="86" t="s">
        <v>40</v>
      </c>
      <c r="C120" s="67">
        <f>SUM(C112:C119)</f>
        <v>38</v>
      </c>
      <c r="D120" s="86" t="str">
        <f xml:space="preserve"> setValueToTime(C120)</f>
        <v>3h 10 min</v>
      </c>
      <c r="E120" s="95"/>
      <c r="F120" s="215"/>
      <c r="G120" s="216"/>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17" t="s">
        <v>38</v>
      </c>
      <c r="G123" s="218"/>
      <c r="H123" s="151"/>
    </row>
    <row r="124" spans="2:8" s="43" customFormat="1" x14ac:dyDescent="0.3">
      <c r="B124" s="40" t="s">
        <v>64</v>
      </c>
      <c r="C124" s="41">
        <v>5</v>
      </c>
      <c r="D124" s="125" t="str">
        <f xml:space="preserve"> IF(C124="","",setValueToTime(C124))</f>
        <v xml:space="preserve"> 25 min</v>
      </c>
      <c r="E124" s="42"/>
      <c r="F124" s="219"/>
      <c r="G124" s="220"/>
      <c r="H124" s="152"/>
    </row>
    <row r="125" spans="2:8" s="43" customFormat="1" x14ac:dyDescent="0.3">
      <c r="B125" s="44" t="s">
        <v>30</v>
      </c>
      <c r="C125" s="45">
        <v>30</v>
      </c>
      <c r="D125" s="126" t="str">
        <f t="shared" ref="D125:D131" si="11" xml:space="preserve"> IF(C125="","",setValueToTime(C125))</f>
        <v>2h 30 min</v>
      </c>
      <c r="E125" s="46"/>
      <c r="F125" s="211"/>
      <c r="G125" s="212"/>
      <c r="H125" s="152"/>
    </row>
    <row r="126" spans="2:8" s="43" customFormat="1" x14ac:dyDescent="0.3">
      <c r="B126" s="44" t="s">
        <v>72</v>
      </c>
      <c r="C126" s="45">
        <v>13</v>
      </c>
      <c r="D126" s="126" t="str">
        <f t="shared" si="11"/>
        <v>1h 5 min</v>
      </c>
      <c r="E126" s="46"/>
      <c r="F126" s="211"/>
      <c r="G126" s="212"/>
      <c r="H126" s="152"/>
    </row>
    <row r="127" spans="2:8" s="43" customFormat="1" x14ac:dyDescent="0.3">
      <c r="B127" s="44"/>
      <c r="C127" s="45"/>
      <c r="D127" s="126" t="str">
        <f t="shared" si="11"/>
        <v/>
      </c>
      <c r="E127" s="46"/>
      <c r="F127" s="211"/>
      <c r="G127" s="212"/>
      <c r="H127" s="152"/>
    </row>
    <row r="128" spans="2:8" s="43" customFormat="1" x14ac:dyDescent="0.3">
      <c r="B128" s="44"/>
      <c r="C128" s="45"/>
      <c r="D128" s="127" t="str">
        <f t="shared" si="11"/>
        <v/>
      </c>
      <c r="E128" s="46"/>
      <c r="F128" s="211"/>
      <c r="G128" s="212"/>
      <c r="H128" s="152"/>
    </row>
    <row r="129" spans="2:8" s="43" customFormat="1" x14ac:dyDescent="0.3">
      <c r="B129" s="44"/>
      <c r="C129" s="45"/>
      <c r="D129" s="127" t="str">
        <f t="shared" si="11"/>
        <v/>
      </c>
      <c r="E129" s="46"/>
      <c r="F129" s="211"/>
      <c r="G129" s="212"/>
      <c r="H129" s="152"/>
    </row>
    <row r="130" spans="2:8" s="43" customFormat="1" x14ac:dyDescent="0.3">
      <c r="B130" s="44"/>
      <c r="C130" s="45"/>
      <c r="D130" s="127" t="str">
        <f t="shared" si="11"/>
        <v/>
      </c>
      <c r="E130" s="46"/>
      <c r="F130" s="211"/>
      <c r="G130" s="212"/>
      <c r="H130" s="152"/>
    </row>
    <row r="131" spans="2:8" s="43" customFormat="1" ht="15" thickBot="1" x14ac:dyDescent="0.35">
      <c r="B131" s="44"/>
      <c r="C131" s="47"/>
      <c r="D131" s="128" t="str">
        <f t="shared" si="11"/>
        <v/>
      </c>
      <c r="E131" s="48"/>
      <c r="F131" s="213"/>
      <c r="G131" s="214"/>
      <c r="H131" s="152"/>
    </row>
    <row r="132" spans="2:8" s="43" customFormat="1" ht="15" thickBot="1" x14ac:dyDescent="0.35">
      <c r="B132" s="86" t="s">
        <v>40</v>
      </c>
      <c r="C132" s="67">
        <f>SUM(C124:C131)</f>
        <v>48</v>
      </c>
      <c r="D132" s="86" t="str">
        <f xml:space="preserve"> setValueToTime(C132)</f>
        <v>4h</v>
      </c>
      <c r="E132" s="95"/>
      <c r="F132" s="215"/>
      <c r="G132" s="216"/>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17" t="s">
        <v>38</v>
      </c>
      <c r="G135" s="218"/>
      <c r="H135" s="151"/>
    </row>
    <row r="136" spans="2:8" s="43" customFormat="1" ht="27" x14ac:dyDescent="0.3">
      <c r="B136" s="40" t="s">
        <v>66</v>
      </c>
      <c r="C136" s="41">
        <v>17</v>
      </c>
      <c r="D136" s="125" t="str">
        <f xml:space="preserve"> IF(C136="","",setValueToTime(C136))</f>
        <v>1h 25 min</v>
      </c>
      <c r="E136" s="42"/>
      <c r="F136" s="219"/>
      <c r="G136" s="220"/>
      <c r="H136" s="152"/>
    </row>
    <row r="137" spans="2:8" s="43" customFormat="1" x14ac:dyDescent="0.3">
      <c r="B137" s="44" t="s">
        <v>64</v>
      </c>
      <c r="C137" s="45">
        <v>17</v>
      </c>
      <c r="D137" s="126" t="str">
        <f t="shared" ref="D137:D143" si="12" xml:space="preserve"> IF(C137="","",setValueToTime(C137))</f>
        <v>1h 25 min</v>
      </c>
      <c r="E137" s="46"/>
      <c r="F137" s="211"/>
      <c r="G137" s="212"/>
      <c r="H137" s="152"/>
    </row>
    <row r="138" spans="2:8" s="43" customFormat="1" x14ac:dyDescent="0.3">
      <c r="B138" s="44" t="s">
        <v>29</v>
      </c>
      <c r="C138" s="45">
        <v>4</v>
      </c>
      <c r="D138" s="126" t="str">
        <f t="shared" si="12"/>
        <v xml:space="preserve"> 20 min</v>
      </c>
      <c r="E138" s="46"/>
      <c r="F138" s="211"/>
      <c r="G138" s="212"/>
      <c r="H138" s="152"/>
    </row>
    <row r="139" spans="2:8" s="43" customFormat="1" x14ac:dyDescent="0.3">
      <c r="B139" s="44"/>
      <c r="C139" s="45"/>
      <c r="D139" s="126" t="str">
        <f t="shared" si="12"/>
        <v/>
      </c>
      <c r="E139" s="46"/>
      <c r="F139" s="211"/>
      <c r="G139" s="212"/>
      <c r="H139" s="152"/>
    </row>
    <row r="140" spans="2:8" s="43" customFormat="1" x14ac:dyDescent="0.3">
      <c r="B140" s="44"/>
      <c r="C140" s="45"/>
      <c r="D140" s="127" t="str">
        <f t="shared" si="12"/>
        <v/>
      </c>
      <c r="E140" s="46"/>
      <c r="F140" s="211"/>
      <c r="G140" s="212"/>
      <c r="H140" s="152"/>
    </row>
    <row r="141" spans="2:8" s="43" customFormat="1" x14ac:dyDescent="0.3">
      <c r="B141" s="44"/>
      <c r="C141" s="45"/>
      <c r="D141" s="127" t="str">
        <f t="shared" si="12"/>
        <v/>
      </c>
      <c r="E141" s="46"/>
      <c r="F141" s="211"/>
      <c r="G141" s="212"/>
      <c r="H141" s="152"/>
    </row>
    <row r="142" spans="2:8" s="43" customFormat="1" x14ac:dyDescent="0.3">
      <c r="B142" s="44"/>
      <c r="C142" s="45"/>
      <c r="D142" s="127" t="str">
        <f t="shared" si="12"/>
        <v/>
      </c>
      <c r="E142" s="46"/>
      <c r="F142" s="211"/>
      <c r="G142" s="212"/>
      <c r="H142" s="152"/>
    </row>
    <row r="143" spans="2:8" s="43" customFormat="1" ht="15" thickBot="1" x14ac:dyDescent="0.35">
      <c r="B143" s="44"/>
      <c r="C143" s="47"/>
      <c r="D143" s="128" t="str">
        <f t="shared" si="12"/>
        <v/>
      </c>
      <c r="E143" s="48"/>
      <c r="F143" s="213"/>
      <c r="G143" s="214"/>
      <c r="H143" s="152"/>
    </row>
    <row r="144" spans="2:8" s="43" customFormat="1" ht="15" thickBot="1" x14ac:dyDescent="0.35">
      <c r="B144" s="86" t="s">
        <v>40</v>
      </c>
      <c r="C144" s="67">
        <f>SUM(C136:C143)</f>
        <v>38</v>
      </c>
      <c r="D144" s="86" t="str">
        <f xml:space="preserve"> setValueToTime(C144)</f>
        <v>3h 10 min</v>
      </c>
      <c r="E144" s="95"/>
      <c r="F144" s="215"/>
      <c r="G144" s="216"/>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17" t="s">
        <v>38</v>
      </c>
      <c r="G147" s="218"/>
      <c r="H147" s="151"/>
    </row>
    <row r="148" spans="2:8" s="43" customFormat="1" ht="27" x14ac:dyDescent="0.3">
      <c r="B148" s="40" t="s">
        <v>67</v>
      </c>
      <c r="C148" s="41">
        <v>33</v>
      </c>
      <c r="D148" s="125" t="str">
        <f xml:space="preserve"> IF(C148="","",setValueToTime(C148))</f>
        <v>2h 45 min</v>
      </c>
      <c r="E148" s="42"/>
      <c r="F148" s="219"/>
      <c r="G148" s="220"/>
      <c r="H148" s="152"/>
    </row>
    <row r="149" spans="2:8" s="43" customFormat="1" ht="27" x14ac:dyDescent="0.3">
      <c r="B149" s="44" t="s">
        <v>66</v>
      </c>
      <c r="C149" s="45">
        <v>15</v>
      </c>
      <c r="D149" s="126" t="str">
        <f t="shared" ref="D149:D155" si="13" xml:space="preserve"> IF(C149="","",setValueToTime(C149))</f>
        <v>1h 15 min</v>
      </c>
      <c r="E149" s="46"/>
      <c r="F149" s="211"/>
      <c r="G149" s="212"/>
      <c r="H149" s="152"/>
    </row>
    <row r="150" spans="2:8" s="43" customFormat="1" x14ac:dyDescent="0.3">
      <c r="B150" s="44"/>
      <c r="C150" s="45"/>
      <c r="D150" s="126" t="str">
        <f t="shared" si="13"/>
        <v/>
      </c>
      <c r="E150" s="46"/>
      <c r="F150" s="211"/>
      <c r="G150" s="212"/>
      <c r="H150" s="152"/>
    </row>
    <row r="151" spans="2:8" s="43" customFormat="1" x14ac:dyDescent="0.3">
      <c r="B151" s="44"/>
      <c r="C151" s="45"/>
      <c r="D151" s="126" t="str">
        <f t="shared" si="13"/>
        <v/>
      </c>
      <c r="E151" s="46"/>
      <c r="F151" s="211"/>
      <c r="G151" s="212"/>
      <c r="H151" s="152"/>
    </row>
    <row r="152" spans="2:8" s="43" customFormat="1" x14ac:dyDescent="0.3">
      <c r="B152" s="44"/>
      <c r="C152" s="45"/>
      <c r="D152" s="127" t="str">
        <f t="shared" si="13"/>
        <v/>
      </c>
      <c r="E152" s="46"/>
      <c r="F152" s="211"/>
      <c r="G152" s="212"/>
      <c r="H152" s="152"/>
    </row>
    <row r="153" spans="2:8" s="43" customFormat="1" x14ac:dyDescent="0.3">
      <c r="B153" s="44"/>
      <c r="C153" s="45"/>
      <c r="D153" s="127" t="str">
        <f t="shared" si="13"/>
        <v/>
      </c>
      <c r="E153" s="46"/>
      <c r="F153" s="211"/>
      <c r="G153" s="212"/>
      <c r="H153" s="152"/>
    </row>
    <row r="154" spans="2:8" s="43" customFormat="1" x14ac:dyDescent="0.3">
      <c r="B154" s="44"/>
      <c r="C154" s="45"/>
      <c r="D154" s="127" t="str">
        <f t="shared" si="13"/>
        <v/>
      </c>
      <c r="E154" s="46"/>
      <c r="F154" s="211"/>
      <c r="G154" s="212"/>
      <c r="H154" s="152"/>
    </row>
    <row r="155" spans="2:8" s="43" customFormat="1" ht="15" thickBot="1" x14ac:dyDescent="0.35">
      <c r="B155" s="44"/>
      <c r="C155" s="47"/>
      <c r="D155" s="128" t="str">
        <f t="shared" si="13"/>
        <v/>
      </c>
      <c r="E155" s="48"/>
      <c r="F155" s="213"/>
      <c r="G155" s="214"/>
      <c r="H155" s="152"/>
    </row>
    <row r="156" spans="2:8" s="43" customFormat="1" ht="15" thickBot="1" x14ac:dyDescent="0.35">
      <c r="B156" s="86" t="s">
        <v>40</v>
      </c>
      <c r="C156" s="67">
        <f>SUM(C148:C155)</f>
        <v>48</v>
      </c>
      <c r="D156" s="86" t="str">
        <f xml:space="preserve"> setValueToTime(C156)</f>
        <v>4h</v>
      </c>
      <c r="E156" s="95"/>
      <c r="F156" s="215"/>
      <c r="G156" s="216"/>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17" t="s">
        <v>38</v>
      </c>
      <c r="G159" s="218"/>
      <c r="H159" s="151"/>
    </row>
    <row r="160" spans="2:8" s="43" customFormat="1" x14ac:dyDescent="0.3">
      <c r="B160" s="40" t="s">
        <v>68</v>
      </c>
      <c r="C160" s="41">
        <v>10</v>
      </c>
      <c r="D160" s="125" t="str">
        <f xml:space="preserve"> IF(C160="","",setValueToTime(C160))</f>
        <v xml:space="preserve"> 50 min</v>
      </c>
      <c r="E160" s="42"/>
      <c r="F160" s="219"/>
      <c r="G160" s="220"/>
      <c r="H160" s="152"/>
    </row>
    <row r="161" spans="2:8" s="43" customFormat="1" ht="27" x14ac:dyDescent="0.3">
      <c r="B161" s="44" t="s">
        <v>67</v>
      </c>
      <c r="C161" s="45">
        <v>15</v>
      </c>
      <c r="D161" s="126" t="str">
        <f t="shared" ref="D161:D167" si="14" xml:space="preserve"> IF(C161="","",setValueToTime(C161))</f>
        <v>1h 15 min</v>
      </c>
      <c r="E161" s="46"/>
      <c r="F161" s="211"/>
      <c r="G161" s="212"/>
      <c r="H161" s="152"/>
    </row>
    <row r="162" spans="2:8" s="43" customFormat="1" x14ac:dyDescent="0.3">
      <c r="B162" s="44" t="s">
        <v>29</v>
      </c>
      <c r="C162" s="45">
        <v>4</v>
      </c>
      <c r="D162" s="126" t="str">
        <f t="shared" si="14"/>
        <v xml:space="preserve"> 20 min</v>
      </c>
      <c r="E162" s="46"/>
      <c r="F162" s="211"/>
      <c r="G162" s="212"/>
      <c r="H162" s="152"/>
    </row>
    <row r="163" spans="2:8" s="43" customFormat="1" x14ac:dyDescent="0.3">
      <c r="B163" s="44"/>
      <c r="C163" s="45"/>
      <c r="D163" s="126" t="str">
        <f t="shared" si="14"/>
        <v/>
      </c>
      <c r="E163" s="46"/>
      <c r="F163" s="211"/>
      <c r="G163" s="212"/>
      <c r="H163" s="152"/>
    </row>
    <row r="164" spans="2:8" s="43" customFormat="1" x14ac:dyDescent="0.3">
      <c r="B164" s="44"/>
      <c r="C164" s="45"/>
      <c r="D164" s="127" t="str">
        <f t="shared" si="14"/>
        <v/>
      </c>
      <c r="E164" s="46"/>
      <c r="F164" s="211"/>
      <c r="G164" s="212"/>
      <c r="H164" s="152"/>
    </row>
    <row r="165" spans="2:8" s="43" customFormat="1" x14ac:dyDescent="0.3">
      <c r="B165" s="44"/>
      <c r="C165" s="45"/>
      <c r="D165" s="127" t="str">
        <f t="shared" si="14"/>
        <v/>
      </c>
      <c r="E165" s="46"/>
      <c r="F165" s="211"/>
      <c r="G165" s="212"/>
      <c r="H165" s="152"/>
    </row>
    <row r="166" spans="2:8" s="43" customFormat="1" x14ac:dyDescent="0.3">
      <c r="B166" s="44"/>
      <c r="C166" s="45"/>
      <c r="D166" s="127" t="str">
        <f t="shared" si="14"/>
        <v/>
      </c>
      <c r="E166" s="46"/>
      <c r="F166" s="211"/>
      <c r="G166" s="212"/>
      <c r="H166" s="152"/>
    </row>
    <row r="167" spans="2:8" s="43" customFormat="1" ht="15" thickBot="1" x14ac:dyDescent="0.35">
      <c r="B167" s="44"/>
      <c r="C167" s="47"/>
      <c r="D167" s="128" t="str">
        <f t="shared" si="14"/>
        <v/>
      </c>
      <c r="E167" s="48"/>
      <c r="F167" s="213"/>
      <c r="G167" s="214"/>
      <c r="H167" s="152"/>
    </row>
    <row r="168" spans="2:8" s="43" customFormat="1" ht="15" thickBot="1" x14ac:dyDescent="0.35">
      <c r="B168" s="86" t="s">
        <v>40</v>
      </c>
      <c r="C168" s="67">
        <f>SUM(C160:C167)</f>
        <v>29</v>
      </c>
      <c r="D168" s="86" t="str">
        <f xml:space="preserve"> setValueToTime(C168)</f>
        <v>2h 25 min</v>
      </c>
      <c r="E168" s="95"/>
      <c r="F168" s="215"/>
      <c r="G168" s="216"/>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17" t="s">
        <v>38</v>
      </c>
      <c r="G171" s="218"/>
      <c r="H171" s="151"/>
    </row>
    <row r="172" spans="2:8" s="43" customFormat="1" ht="27" x14ac:dyDescent="0.3">
      <c r="B172" s="40" t="s">
        <v>62</v>
      </c>
      <c r="C172" s="41">
        <v>19</v>
      </c>
      <c r="D172" s="125" t="str">
        <f xml:space="preserve"> IF(C172="","",setValueToTime(C172))</f>
        <v>1h 35 min</v>
      </c>
      <c r="E172" s="42"/>
      <c r="F172" s="219"/>
      <c r="G172" s="220"/>
      <c r="H172" s="152"/>
    </row>
    <row r="173" spans="2:8" s="43" customFormat="1" x14ac:dyDescent="0.3">
      <c r="B173" s="44" t="s">
        <v>69</v>
      </c>
      <c r="C173" s="45">
        <v>12</v>
      </c>
      <c r="D173" s="126" t="str">
        <f t="shared" ref="D173:D179" si="15" xml:space="preserve"> IF(C173="","",setValueToTime(C173))</f>
        <v>1h</v>
      </c>
      <c r="E173" s="46"/>
      <c r="F173" s="211"/>
      <c r="G173" s="212"/>
      <c r="H173" s="152"/>
    </row>
    <row r="174" spans="2:8" s="43" customFormat="1" x14ac:dyDescent="0.3">
      <c r="B174" s="44" t="s">
        <v>68</v>
      </c>
      <c r="C174" s="45">
        <v>7</v>
      </c>
      <c r="D174" s="126" t="str">
        <f t="shared" ref="D174" si="16" xml:space="preserve"> IF(C174="","",setValueToTime(C174))</f>
        <v xml:space="preserve"> 35 min</v>
      </c>
      <c r="E174" s="46"/>
      <c r="F174" s="211"/>
      <c r="G174" s="212"/>
      <c r="H174" s="152"/>
    </row>
    <row r="175" spans="2:8" s="43" customFormat="1" x14ac:dyDescent="0.3">
      <c r="B175" s="44"/>
      <c r="C175" s="45"/>
      <c r="D175" s="126" t="str">
        <f t="shared" si="15"/>
        <v/>
      </c>
      <c r="E175" s="46"/>
      <c r="F175" s="211"/>
      <c r="G175" s="212"/>
      <c r="H175" s="152"/>
    </row>
    <row r="176" spans="2:8" s="43" customFormat="1" x14ac:dyDescent="0.3">
      <c r="B176" s="44"/>
      <c r="C176" s="45"/>
      <c r="D176" s="127" t="str">
        <f t="shared" si="15"/>
        <v/>
      </c>
      <c r="E176" s="46"/>
      <c r="F176" s="211"/>
      <c r="G176" s="212"/>
      <c r="H176" s="152"/>
    </row>
    <row r="177" spans="2:8" s="43" customFormat="1" x14ac:dyDescent="0.3">
      <c r="B177" s="44"/>
      <c r="C177" s="45"/>
      <c r="D177" s="127" t="str">
        <f t="shared" si="15"/>
        <v/>
      </c>
      <c r="E177" s="46"/>
      <c r="F177" s="211"/>
      <c r="G177" s="212"/>
      <c r="H177" s="152"/>
    </row>
    <row r="178" spans="2:8" s="43" customFormat="1" x14ac:dyDescent="0.3">
      <c r="B178" s="44"/>
      <c r="C178" s="45"/>
      <c r="D178" s="127" t="str">
        <f t="shared" si="15"/>
        <v/>
      </c>
      <c r="E178" s="46"/>
      <c r="F178" s="211"/>
      <c r="G178" s="212"/>
      <c r="H178" s="152"/>
    </row>
    <row r="179" spans="2:8" s="43" customFormat="1" ht="15" thickBot="1" x14ac:dyDescent="0.35">
      <c r="B179" s="44"/>
      <c r="C179" s="47"/>
      <c r="D179" s="128" t="str">
        <f t="shared" si="15"/>
        <v/>
      </c>
      <c r="E179" s="48"/>
      <c r="F179" s="213"/>
      <c r="G179" s="214"/>
      <c r="H179" s="152"/>
    </row>
    <row r="180" spans="2:8" s="43" customFormat="1" ht="15" thickBot="1" x14ac:dyDescent="0.35">
      <c r="B180" s="86" t="s">
        <v>40</v>
      </c>
      <c r="C180" s="67">
        <f>SUM(C172:C179)</f>
        <v>38</v>
      </c>
      <c r="D180" s="86" t="str">
        <f xml:space="preserve"> setValueToTime(C180)</f>
        <v>3h 10 min</v>
      </c>
      <c r="E180" s="95"/>
      <c r="F180" s="215"/>
      <c r="G180" s="216"/>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17" t="s">
        <v>38</v>
      </c>
      <c r="G183" s="218"/>
      <c r="H183" s="151"/>
    </row>
    <row r="184" spans="2:8" s="43" customFormat="1" x14ac:dyDescent="0.3">
      <c r="B184" s="40" t="s">
        <v>48</v>
      </c>
      <c r="C184" s="41">
        <v>6</v>
      </c>
      <c r="D184" s="125" t="str">
        <f xml:space="preserve"> IF(C184="","",setValueToTime(C184))</f>
        <v xml:space="preserve"> 30 min</v>
      </c>
      <c r="E184" s="42"/>
      <c r="F184" s="219"/>
      <c r="G184" s="220"/>
      <c r="H184" s="152"/>
    </row>
    <row r="185" spans="2:8" s="43" customFormat="1" x14ac:dyDescent="0.3">
      <c r="B185" s="44" t="s">
        <v>30</v>
      </c>
      <c r="C185" s="45">
        <v>20</v>
      </c>
      <c r="D185" s="126" t="str">
        <f t="shared" ref="D185:D191" si="17" xml:space="preserve"> IF(C185="","",setValueToTime(C185))</f>
        <v>1h 40 min</v>
      </c>
      <c r="E185" s="46"/>
      <c r="F185" s="211"/>
      <c r="G185" s="212"/>
      <c r="H185" s="152"/>
    </row>
    <row r="186" spans="2:8" s="43" customFormat="1" ht="27" x14ac:dyDescent="0.3">
      <c r="B186" s="44" t="s">
        <v>65</v>
      </c>
      <c r="C186" s="45">
        <v>10</v>
      </c>
      <c r="D186" s="126" t="str">
        <f t="shared" si="17"/>
        <v xml:space="preserve"> 50 min</v>
      </c>
      <c r="E186" s="46"/>
      <c r="F186" s="211"/>
      <c r="G186" s="212"/>
      <c r="H186" s="152"/>
    </row>
    <row r="187" spans="2:8" s="43" customFormat="1" x14ac:dyDescent="0.3">
      <c r="B187" s="44" t="s">
        <v>29</v>
      </c>
      <c r="C187" s="45">
        <v>2</v>
      </c>
      <c r="D187" s="126" t="str">
        <f t="shared" si="17"/>
        <v xml:space="preserve"> 10 min</v>
      </c>
      <c r="E187" s="46"/>
      <c r="F187" s="211"/>
      <c r="G187" s="212"/>
      <c r="H187" s="152"/>
    </row>
    <row r="188" spans="2:8" s="43" customFormat="1" x14ac:dyDescent="0.3">
      <c r="B188" s="44"/>
      <c r="C188" s="45"/>
      <c r="D188" s="127" t="str">
        <f t="shared" si="17"/>
        <v/>
      </c>
      <c r="E188" s="46"/>
      <c r="F188" s="211"/>
      <c r="G188" s="212"/>
      <c r="H188" s="152"/>
    </row>
    <row r="189" spans="2:8" s="43" customFormat="1" x14ac:dyDescent="0.3">
      <c r="B189" s="44"/>
      <c r="C189" s="45"/>
      <c r="D189" s="127" t="str">
        <f t="shared" si="17"/>
        <v/>
      </c>
      <c r="E189" s="46"/>
      <c r="F189" s="211"/>
      <c r="G189" s="212"/>
      <c r="H189" s="152"/>
    </row>
    <row r="190" spans="2:8" s="43" customFormat="1" x14ac:dyDescent="0.3">
      <c r="B190" s="44"/>
      <c r="C190" s="45"/>
      <c r="D190" s="127" t="str">
        <f t="shared" si="17"/>
        <v/>
      </c>
      <c r="E190" s="46"/>
      <c r="F190" s="211"/>
      <c r="G190" s="212"/>
      <c r="H190" s="152"/>
    </row>
    <row r="191" spans="2:8" s="43" customFormat="1" ht="15" thickBot="1" x14ac:dyDescent="0.35">
      <c r="B191" s="44"/>
      <c r="C191" s="47"/>
      <c r="D191" s="128" t="str">
        <f t="shared" si="17"/>
        <v/>
      </c>
      <c r="E191" s="48"/>
      <c r="F191" s="213"/>
      <c r="G191" s="214"/>
      <c r="H191" s="152"/>
    </row>
    <row r="192" spans="2:8" s="43" customFormat="1" ht="15" thickBot="1" x14ac:dyDescent="0.35">
      <c r="B192" s="86" t="s">
        <v>40</v>
      </c>
      <c r="C192" s="67">
        <f>SUM(C184:C191)</f>
        <v>38</v>
      </c>
      <c r="D192" s="86" t="str">
        <f xml:space="preserve"> setValueToTime(C192)</f>
        <v>3h 10 min</v>
      </c>
      <c r="E192" s="95"/>
      <c r="F192" s="215"/>
      <c r="G192" s="216"/>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17" t="s">
        <v>38</v>
      </c>
      <c r="G195" s="218"/>
      <c r="H195" s="151"/>
    </row>
    <row r="196" spans="2:8" s="43" customFormat="1" x14ac:dyDescent="0.3">
      <c r="B196" s="40" t="s">
        <v>53</v>
      </c>
      <c r="C196" s="41">
        <v>30</v>
      </c>
      <c r="D196" s="125" t="str">
        <f xml:space="preserve"> IF(C196="","",setValueToTime(C196))</f>
        <v>2h 30 min</v>
      </c>
      <c r="E196" s="42"/>
      <c r="F196" s="219"/>
      <c r="G196" s="220"/>
      <c r="H196" s="152"/>
    </row>
    <row r="197" spans="2:8" s="43" customFormat="1" x14ac:dyDescent="0.3">
      <c r="B197" s="44" t="s">
        <v>48</v>
      </c>
      <c r="C197" s="45">
        <v>18</v>
      </c>
      <c r="D197" s="126" t="str">
        <f t="shared" ref="D197:D203" si="18" xml:space="preserve"> IF(C197="","",setValueToTime(C197))</f>
        <v>1h 30 min</v>
      </c>
      <c r="E197" s="46"/>
      <c r="F197" s="211"/>
      <c r="G197" s="212"/>
      <c r="H197" s="152"/>
    </row>
    <row r="198" spans="2:8" s="43" customFormat="1" x14ac:dyDescent="0.3">
      <c r="B198" s="44"/>
      <c r="C198" s="45"/>
      <c r="D198" s="126" t="str">
        <f t="shared" si="18"/>
        <v/>
      </c>
      <c r="E198" s="46"/>
      <c r="F198" s="211"/>
      <c r="G198" s="212"/>
      <c r="H198" s="152"/>
    </row>
    <row r="199" spans="2:8" s="43" customFormat="1" x14ac:dyDescent="0.3">
      <c r="B199" s="44"/>
      <c r="C199" s="45"/>
      <c r="D199" s="126" t="str">
        <f t="shared" si="18"/>
        <v/>
      </c>
      <c r="E199" s="46"/>
      <c r="F199" s="211"/>
      <c r="G199" s="212"/>
      <c r="H199" s="152"/>
    </row>
    <row r="200" spans="2:8" s="43" customFormat="1" x14ac:dyDescent="0.3">
      <c r="B200" s="44"/>
      <c r="C200" s="45"/>
      <c r="D200" s="127" t="str">
        <f t="shared" si="18"/>
        <v/>
      </c>
      <c r="E200" s="46"/>
      <c r="F200" s="211"/>
      <c r="G200" s="212"/>
      <c r="H200" s="152"/>
    </row>
    <row r="201" spans="2:8" s="43" customFormat="1" x14ac:dyDescent="0.3">
      <c r="B201" s="44"/>
      <c r="C201" s="45"/>
      <c r="D201" s="127" t="str">
        <f t="shared" si="18"/>
        <v/>
      </c>
      <c r="E201" s="46"/>
      <c r="F201" s="211"/>
      <c r="G201" s="212"/>
      <c r="H201" s="152"/>
    </row>
    <row r="202" spans="2:8" s="43" customFormat="1" x14ac:dyDescent="0.3">
      <c r="B202" s="44"/>
      <c r="C202" s="45"/>
      <c r="D202" s="127" t="str">
        <f t="shared" si="18"/>
        <v/>
      </c>
      <c r="E202" s="46"/>
      <c r="F202" s="211"/>
      <c r="G202" s="212"/>
      <c r="H202" s="152"/>
    </row>
    <row r="203" spans="2:8" s="43" customFormat="1" ht="15" thickBot="1" x14ac:dyDescent="0.35">
      <c r="B203" s="44"/>
      <c r="C203" s="47"/>
      <c r="D203" s="128" t="str">
        <f t="shared" si="18"/>
        <v/>
      </c>
      <c r="E203" s="48"/>
      <c r="F203" s="213"/>
      <c r="G203" s="214"/>
      <c r="H203" s="152"/>
    </row>
    <row r="204" spans="2:8" s="43" customFormat="1" ht="15" thickBot="1" x14ac:dyDescent="0.35">
      <c r="B204" s="86" t="s">
        <v>40</v>
      </c>
      <c r="C204" s="67">
        <f>SUM(C196:C203)</f>
        <v>48</v>
      </c>
      <c r="D204" s="86" t="str">
        <f xml:space="preserve"> setValueToTime(C204)</f>
        <v>4h</v>
      </c>
      <c r="E204" s="95"/>
      <c r="F204" s="215"/>
      <c r="G204" s="216"/>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17" t="s">
        <v>38</v>
      </c>
      <c r="G207" s="218"/>
      <c r="H207" s="151"/>
    </row>
    <row r="208" spans="2:8" s="43" customFormat="1" ht="27" x14ac:dyDescent="0.3">
      <c r="B208" s="40" t="s">
        <v>54</v>
      </c>
      <c r="C208" s="41">
        <v>6</v>
      </c>
      <c r="D208" s="125" t="str">
        <f xml:space="preserve"> IF(C208="","",setValueToTime(C208))</f>
        <v xml:space="preserve"> 30 min</v>
      </c>
      <c r="E208" s="42"/>
      <c r="F208" s="219"/>
      <c r="G208" s="220"/>
      <c r="H208" s="152"/>
    </row>
    <row r="209" spans="2:8" s="43" customFormat="1" x14ac:dyDescent="0.3">
      <c r="B209" s="44" t="s">
        <v>53</v>
      </c>
      <c r="C209" s="45">
        <v>19</v>
      </c>
      <c r="D209" s="126" t="str">
        <f t="shared" ref="D209:D215" si="19" xml:space="preserve"> IF(C209="","",setValueToTime(C209))</f>
        <v>1h 35 min</v>
      </c>
      <c r="E209" s="46"/>
      <c r="F209" s="211"/>
      <c r="G209" s="212"/>
      <c r="H209" s="152"/>
    </row>
    <row r="210" spans="2:8" s="43" customFormat="1" x14ac:dyDescent="0.3">
      <c r="B210" s="44" t="s">
        <v>29</v>
      </c>
      <c r="C210" s="45">
        <v>4</v>
      </c>
      <c r="D210" s="126" t="str">
        <f t="shared" si="19"/>
        <v xml:space="preserve"> 20 min</v>
      </c>
      <c r="E210" s="46"/>
      <c r="F210" s="211"/>
      <c r="G210" s="212"/>
      <c r="H210" s="152"/>
    </row>
    <row r="211" spans="2:8" s="43" customFormat="1" x14ac:dyDescent="0.3">
      <c r="B211" s="44"/>
      <c r="C211" s="45"/>
      <c r="D211" s="126" t="str">
        <f t="shared" si="19"/>
        <v/>
      </c>
      <c r="E211" s="46"/>
      <c r="F211" s="211"/>
      <c r="G211" s="212"/>
      <c r="H211" s="152"/>
    </row>
    <row r="212" spans="2:8" s="43" customFormat="1" x14ac:dyDescent="0.3">
      <c r="B212" s="44"/>
      <c r="C212" s="45"/>
      <c r="D212" s="127" t="str">
        <f t="shared" si="19"/>
        <v/>
      </c>
      <c r="E212" s="46"/>
      <c r="F212" s="211"/>
      <c r="G212" s="212"/>
      <c r="H212" s="152"/>
    </row>
    <row r="213" spans="2:8" s="43" customFormat="1" x14ac:dyDescent="0.3">
      <c r="B213" s="44"/>
      <c r="C213" s="45"/>
      <c r="D213" s="127" t="str">
        <f t="shared" si="19"/>
        <v/>
      </c>
      <c r="E213" s="46"/>
      <c r="F213" s="211"/>
      <c r="G213" s="212"/>
      <c r="H213" s="152"/>
    </row>
    <row r="214" spans="2:8" s="43" customFormat="1" x14ac:dyDescent="0.3">
      <c r="B214" s="44"/>
      <c r="C214" s="45"/>
      <c r="D214" s="127" t="str">
        <f t="shared" si="19"/>
        <v/>
      </c>
      <c r="E214" s="46"/>
      <c r="F214" s="211"/>
      <c r="G214" s="212"/>
      <c r="H214" s="152"/>
    </row>
    <row r="215" spans="2:8" s="43" customFormat="1" ht="15" thickBot="1" x14ac:dyDescent="0.35">
      <c r="B215" s="44"/>
      <c r="C215" s="47"/>
      <c r="D215" s="128" t="str">
        <f t="shared" si="19"/>
        <v/>
      </c>
      <c r="E215" s="48"/>
      <c r="F215" s="213"/>
      <c r="G215" s="214"/>
      <c r="H215" s="152"/>
    </row>
    <row r="216" spans="2:8" s="43" customFormat="1" ht="15" thickBot="1" x14ac:dyDescent="0.35">
      <c r="B216" s="86" t="s">
        <v>40</v>
      </c>
      <c r="C216" s="67">
        <f>SUM(C208:C215)</f>
        <v>29</v>
      </c>
      <c r="D216" s="86" t="str">
        <f xml:space="preserve"> setValueToTime(C216)</f>
        <v>2h 25 min</v>
      </c>
      <c r="E216" s="95"/>
      <c r="F216" s="215"/>
      <c r="G216" s="216"/>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17" t="s">
        <v>38</v>
      </c>
      <c r="G219" s="218"/>
      <c r="H219" s="151"/>
    </row>
    <row r="220" spans="2:8" s="43" customFormat="1" x14ac:dyDescent="0.3">
      <c r="B220" s="40" t="s">
        <v>52</v>
      </c>
      <c r="C220" s="41">
        <v>32</v>
      </c>
      <c r="D220" s="125" t="str">
        <f xml:space="preserve"> IF(C220="","",setValueToTime(C220))</f>
        <v>2h 40 min</v>
      </c>
      <c r="E220" s="42"/>
      <c r="F220" s="219"/>
      <c r="G220" s="220"/>
      <c r="H220" s="152"/>
    </row>
    <row r="221" spans="2:8" s="43" customFormat="1" ht="27" x14ac:dyDescent="0.3">
      <c r="B221" s="44" t="s">
        <v>54</v>
      </c>
      <c r="C221" s="45">
        <v>6</v>
      </c>
      <c r="D221" s="126" t="str">
        <f t="shared" ref="D221:D227" si="20" xml:space="preserve"> IF(C221="","",setValueToTime(C221))</f>
        <v xml:space="preserve"> 30 min</v>
      </c>
      <c r="E221" s="46"/>
      <c r="F221" s="211"/>
      <c r="G221" s="212"/>
      <c r="H221" s="152"/>
    </row>
    <row r="222" spans="2:8" s="43" customFormat="1" x14ac:dyDescent="0.3">
      <c r="B222" s="44"/>
      <c r="C222" s="45"/>
      <c r="D222" s="126" t="str">
        <f t="shared" si="20"/>
        <v/>
      </c>
      <c r="E222" s="46"/>
      <c r="F222" s="211"/>
      <c r="G222" s="212"/>
      <c r="H222" s="152"/>
    </row>
    <row r="223" spans="2:8" s="43" customFormat="1" x14ac:dyDescent="0.3">
      <c r="B223" s="44"/>
      <c r="C223" s="45"/>
      <c r="D223" s="126" t="str">
        <f t="shared" si="20"/>
        <v/>
      </c>
      <c r="E223" s="46"/>
      <c r="F223" s="211"/>
      <c r="G223" s="212"/>
      <c r="H223" s="152"/>
    </row>
    <row r="224" spans="2:8" s="43" customFormat="1" x14ac:dyDescent="0.3">
      <c r="B224" s="44"/>
      <c r="C224" s="45"/>
      <c r="D224" s="127" t="str">
        <f t="shared" si="20"/>
        <v/>
      </c>
      <c r="E224" s="46"/>
      <c r="F224" s="211"/>
      <c r="G224" s="212"/>
      <c r="H224" s="152"/>
    </row>
    <row r="225" spans="2:8" s="43" customFormat="1" x14ac:dyDescent="0.3">
      <c r="B225" s="44"/>
      <c r="C225" s="45"/>
      <c r="D225" s="127" t="str">
        <f t="shared" si="20"/>
        <v/>
      </c>
      <c r="E225" s="46"/>
      <c r="F225" s="211"/>
      <c r="G225" s="212"/>
      <c r="H225" s="152"/>
    </row>
    <row r="226" spans="2:8" s="43" customFormat="1" x14ac:dyDescent="0.3">
      <c r="B226" s="44"/>
      <c r="C226" s="45"/>
      <c r="D226" s="127" t="str">
        <f t="shared" si="20"/>
        <v/>
      </c>
      <c r="E226" s="46"/>
      <c r="F226" s="211"/>
      <c r="G226" s="212"/>
      <c r="H226" s="152"/>
    </row>
    <row r="227" spans="2:8" s="43" customFormat="1" ht="15" thickBot="1" x14ac:dyDescent="0.35">
      <c r="B227" s="44"/>
      <c r="C227" s="47"/>
      <c r="D227" s="128" t="str">
        <f t="shared" si="20"/>
        <v/>
      </c>
      <c r="E227" s="48"/>
      <c r="F227" s="213"/>
      <c r="G227" s="214"/>
      <c r="H227" s="152"/>
    </row>
    <row r="228" spans="2:8" s="43" customFormat="1" ht="15" thickBot="1" x14ac:dyDescent="0.35">
      <c r="B228" s="86" t="s">
        <v>40</v>
      </c>
      <c r="C228" s="67">
        <f>SUM(C220:C227)</f>
        <v>38</v>
      </c>
      <c r="D228" s="86" t="str">
        <f xml:space="preserve"> setValueToTime(C228)</f>
        <v>3h 10 min</v>
      </c>
      <c r="E228" s="95"/>
      <c r="F228" s="215"/>
      <c r="G228" s="216"/>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17" t="s">
        <v>38</v>
      </c>
      <c r="G231" s="218"/>
      <c r="H231" s="151"/>
    </row>
    <row r="232" spans="2:8" s="43" customFormat="1" x14ac:dyDescent="0.3">
      <c r="B232" s="40" t="s">
        <v>44</v>
      </c>
      <c r="C232" s="41">
        <v>8</v>
      </c>
      <c r="D232" s="125" t="str">
        <f xml:space="preserve"> IF(C232="","",setValueToTime(C232))</f>
        <v xml:space="preserve"> 40 min</v>
      </c>
      <c r="E232" s="42"/>
      <c r="F232" s="219"/>
      <c r="G232" s="220"/>
      <c r="H232" s="152"/>
    </row>
    <row r="233" spans="2:8" s="43" customFormat="1" x14ac:dyDescent="0.3">
      <c r="B233" s="44" t="s">
        <v>45</v>
      </c>
      <c r="C233" s="45">
        <v>17</v>
      </c>
      <c r="D233" s="126" t="str">
        <f t="shared" ref="D233:D239" si="21" xml:space="preserve"> IF(C233="","",setValueToTime(C233))</f>
        <v>1h 25 min</v>
      </c>
      <c r="E233" s="46"/>
      <c r="F233" s="211"/>
      <c r="G233" s="212"/>
      <c r="H233" s="152"/>
    </row>
    <row r="234" spans="2:8" s="43" customFormat="1" x14ac:dyDescent="0.3">
      <c r="B234" s="44" t="s">
        <v>30</v>
      </c>
      <c r="C234" s="45">
        <v>10</v>
      </c>
      <c r="D234" s="126" t="str">
        <f t="shared" si="21"/>
        <v xml:space="preserve"> 50 min</v>
      </c>
      <c r="E234" s="46"/>
      <c r="F234" s="211"/>
      <c r="G234" s="212"/>
      <c r="H234" s="152"/>
    </row>
    <row r="235" spans="2:8" s="43" customFormat="1" x14ac:dyDescent="0.3">
      <c r="B235" s="44" t="s">
        <v>29</v>
      </c>
      <c r="C235" s="45">
        <v>3</v>
      </c>
      <c r="D235" s="126" t="str">
        <f t="shared" si="21"/>
        <v xml:space="preserve"> 15 min</v>
      </c>
      <c r="E235" s="46"/>
      <c r="F235" s="211"/>
      <c r="G235" s="212"/>
      <c r="H235" s="152"/>
    </row>
    <row r="236" spans="2:8" s="43" customFormat="1" x14ac:dyDescent="0.3">
      <c r="B236" s="44"/>
      <c r="C236" s="45"/>
      <c r="D236" s="127" t="str">
        <f t="shared" si="21"/>
        <v/>
      </c>
      <c r="E236" s="46"/>
      <c r="F236" s="211"/>
      <c r="G236" s="212"/>
      <c r="H236" s="152"/>
    </row>
    <row r="237" spans="2:8" s="43" customFormat="1" x14ac:dyDescent="0.3">
      <c r="B237" s="44"/>
      <c r="C237" s="45"/>
      <c r="D237" s="127" t="str">
        <f t="shared" si="21"/>
        <v/>
      </c>
      <c r="E237" s="46"/>
      <c r="F237" s="211"/>
      <c r="G237" s="212"/>
      <c r="H237" s="152"/>
    </row>
    <row r="238" spans="2:8" s="43" customFormat="1" x14ac:dyDescent="0.3">
      <c r="B238" s="44"/>
      <c r="C238" s="45"/>
      <c r="D238" s="127" t="str">
        <f t="shared" si="21"/>
        <v/>
      </c>
      <c r="E238" s="46"/>
      <c r="F238" s="211"/>
      <c r="G238" s="212"/>
      <c r="H238" s="152"/>
    </row>
    <row r="239" spans="2:8" s="43" customFormat="1" ht="15" thickBot="1" x14ac:dyDescent="0.35">
      <c r="B239" s="44"/>
      <c r="C239" s="47"/>
      <c r="D239" s="128" t="str">
        <f t="shared" si="21"/>
        <v/>
      </c>
      <c r="E239" s="48"/>
      <c r="F239" s="213"/>
      <c r="G239" s="214"/>
      <c r="H239" s="152"/>
    </row>
    <row r="240" spans="2:8" s="43" customFormat="1" ht="15" thickBot="1" x14ac:dyDescent="0.35">
      <c r="B240" s="86" t="s">
        <v>40</v>
      </c>
      <c r="C240" s="67">
        <f>SUM(C232:C239)</f>
        <v>38</v>
      </c>
      <c r="D240" s="86" t="str">
        <f xml:space="preserve"> setValueToTime(C240)</f>
        <v>3h 10 min</v>
      </c>
      <c r="E240" s="95"/>
      <c r="F240" s="215"/>
      <c r="G240" s="216"/>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17" t="s">
        <v>38</v>
      </c>
      <c r="G243" s="218"/>
      <c r="H243" s="151"/>
    </row>
    <row r="244" spans="2:8" s="43" customFormat="1" x14ac:dyDescent="0.3">
      <c r="B244" s="40" t="s">
        <v>49</v>
      </c>
      <c r="C244" s="41">
        <v>38</v>
      </c>
      <c r="D244" s="125" t="str">
        <f xml:space="preserve"> IF(C244="","",setValueToTime(C244))</f>
        <v>3h 10 min</v>
      </c>
      <c r="E244" s="42"/>
      <c r="F244" s="219"/>
      <c r="G244" s="220"/>
      <c r="H244" s="152"/>
    </row>
    <row r="245" spans="2:8" s="43" customFormat="1" x14ac:dyDescent="0.3">
      <c r="B245" s="44" t="s">
        <v>44</v>
      </c>
      <c r="C245" s="45">
        <v>10</v>
      </c>
      <c r="D245" s="126" t="str">
        <f t="shared" ref="D245:D251" si="22" xml:space="preserve"> IF(C245="","",setValueToTime(C245))</f>
        <v xml:space="preserve"> 50 min</v>
      </c>
      <c r="E245" s="46"/>
      <c r="F245" s="211"/>
      <c r="G245" s="212"/>
      <c r="H245" s="152"/>
    </row>
    <row r="246" spans="2:8" s="43" customFormat="1" x14ac:dyDescent="0.3">
      <c r="B246" s="44"/>
      <c r="C246" s="45"/>
      <c r="D246" s="126" t="str">
        <f t="shared" si="22"/>
        <v/>
      </c>
      <c r="E246" s="46"/>
      <c r="F246" s="211"/>
      <c r="G246" s="212"/>
      <c r="H246" s="152"/>
    </row>
    <row r="247" spans="2:8" s="43" customFormat="1" x14ac:dyDescent="0.3">
      <c r="B247" s="44"/>
      <c r="C247" s="45"/>
      <c r="D247" s="126" t="str">
        <f t="shared" si="22"/>
        <v/>
      </c>
      <c r="E247" s="46"/>
      <c r="F247" s="211"/>
      <c r="G247" s="212"/>
      <c r="H247" s="152"/>
    </row>
    <row r="248" spans="2:8" s="43" customFormat="1" x14ac:dyDescent="0.3">
      <c r="B248" s="44"/>
      <c r="C248" s="45"/>
      <c r="D248" s="127" t="str">
        <f t="shared" si="22"/>
        <v/>
      </c>
      <c r="E248" s="46"/>
      <c r="F248" s="211"/>
      <c r="G248" s="212"/>
      <c r="H248" s="152"/>
    </row>
    <row r="249" spans="2:8" s="43" customFormat="1" x14ac:dyDescent="0.3">
      <c r="B249" s="44"/>
      <c r="C249" s="45"/>
      <c r="D249" s="127" t="str">
        <f t="shared" si="22"/>
        <v/>
      </c>
      <c r="E249" s="46"/>
      <c r="F249" s="211"/>
      <c r="G249" s="212"/>
      <c r="H249" s="152"/>
    </row>
    <row r="250" spans="2:8" s="43" customFormat="1" x14ac:dyDescent="0.3">
      <c r="B250" s="44"/>
      <c r="C250" s="45"/>
      <c r="D250" s="127" t="str">
        <f t="shared" si="22"/>
        <v/>
      </c>
      <c r="E250" s="46"/>
      <c r="F250" s="211"/>
      <c r="G250" s="212"/>
      <c r="H250" s="152"/>
    </row>
    <row r="251" spans="2:8" s="43" customFormat="1" ht="15" thickBot="1" x14ac:dyDescent="0.35">
      <c r="B251" s="44"/>
      <c r="C251" s="47"/>
      <c r="D251" s="128" t="str">
        <f t="shared" si="22"/>
        <v/>
      </c>
      <c r="E251" s="48"/>
      <c r="F251" s="213"/>
      <c r="G251" s="214"/>
      <c r="H251" s="152"/>
    </row>
    <row r="252" spans="2:8" s="43" customFormat="1" ht="15" thickBot="1" x14ac:dyDescent="0.35">
      <c r="B252" s="86" t="s">
        <v>40</v>
      </c>
      <c r="C252" s="67">
        <f>SUM(C244:C251)</f>
        <v>48</v>
      </c>
      <c r="D252" s="86" t="str">
        <f xml:space="preserve"> setValueToTime(C252)</f>
        <v>4h</v>
      </c>
      <c r="E252" s="95"/>
      <c r="F252" s="215"/>
      <c r="G252" s="216"/>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17" t="s">
        <v>38</v>
      </c>
      <c r="G255" s="218"/>
      <c r="H255" s="151"/>
    </row>
    <row r="256" spans="2:8" s="43" customFormat="1" x14ac:dyDescent="0.3">
      <c r="B256" s="40" t="s">
        <v>47</v>
      </c>
      <c r="C256" s="41">
        <v>35</v>
      </c>
      <c r="D256" s="125" t="str">
        <f xml:space="preserve"> IF(C256="","",setValueToTime(C256))</f>
        <v>2h 55 min</v>
      </c>
      <c r="E256" s="42"/>
      <c r="F256" s="219"/>
      <c r="G256" s="220"/>
      <c r="H256" s="152"/>
    </row>
    <row r="257" spans="2:8" s="43" customFormat="1" x14ac:dyDescent="0.3">
      <c r="B257" s="44" t="s">
        <v>29</v>
      </c>
      <c r="C257" s="45">
        <v>3</v>
      </c>
      <c r="D257" s="126" t="str">
        <f t="shared" ref="D257:D263" si="23" xml:space="preserve"> IF(C257="","",setValueToTime(C257))</f>
        <v xml:space="preserve"> 15 min</v>
      </c>
      <c r="E257" s="46"/>
      <c r="F257" s="211"/>
      <c r="G257" s="212"/>
      <c r="H257" s="152"/>
    </row>
    <row r="258" spans="2:8" s="43" customFormat="1" x14ac:dyDescent="0.3">
      <c r="B258" s="44"/>
      <c r="C258" s="45"/>
      <c r="D258" s="126" t="str">
        <f t="shared" si="23"/>
        <v/>
      </c>
      <c r="E258" s="46"/>
      <c r="F258" s="211"/>
      <c r="G258" s="212"/>
      <c r="H258" s="152"/>
    </row>
    <row r="259" spans="2:8" s="43" customFormat="1" x14ac:dyDescent="0.3">
      <c r="B259" s="44"/>
      <c r="C259" s="45"/>
      <c r="D259" s="126" t="str">
        <f t="shared" si="23"/>
        <v/>
      </c>
      <c r="E259" s="46"/>
      <c r="F259" s="211"/>
      <c r="G259" s="212"/>
      <c r="H259" s="152"/>
    </row>
    <row r="260" spans="2:8" s="43" customFormat="1" x14ac:dyDescent="0.3">
      <c r="B260" s="44"/>
      <c r="C260" s="45"/>
      <c r="D260" s="127" t="str">
        <f t="shared" si="23"/>
        <v/>
      </c>
      <c r="E260" s="46"/>
      <c r="F260" s="211"/>
      <c r="G260" s="212"/>
      <c r="H260" s="152"/>
    </row>
    <row r="261" spans="2:8" s="43" customFormat="1" x14ac:dyDescent="0.3">
      <c r="B261" s="44"/>
      <c r="C261" s="45"/>
      <c r="D261" s="127" t="str">
        <f t="shared" si="23"/>
        <v/>
      </c>
      <c r="E261" s="46"/>
      <c r="F261" s="211"/>
      <c r="G261" s="212"/>
      <c r="H261" s="152"/>
    </row>
    <row r="262" spans="2:8" s="43" customFormat="1" x14ac:dyDescent="0.3">
      <c r="B262" s="44"/>
      <c r="C262" s="45"/>
      <c r="D262" s="127" t="str">
        <f t="shared" si="23"/>
        <v/>
      </c>
      <c r="E262" s="46"/>
      <c r="F262" s="211"/>
      <c r="G262" s="212"/>
      <c r="H262" s="152"/>
    </row>
    <row r="263" spans="2:8" s="43" customFormat="1" ht="15" thickBot="1" x14ac:dyDescent="0.35">
      <c r="B263" s="44"/>
      <c r="C263" s="47"/>
      <c r="D263" s="128" t="str">
        <f t="shared" si="23"/>
        <v/>
      </c>
      <c r="E263" s="48"/>
      <c r="F263" s="213"/>
      <c r="G263" s="214"/>
      <c r="H263" s="152"/>
    </row>
    <row r="264" spans="2:8" s="43" customFormat="1" ht="15" thickBot="1" x14ac:dyDescent="0.35">
      <c r="B264" s="86" t="s">
        <v>40</v>
      </c>
      <c r="C264" s="67">
        <f>SUM(C256:C263)</f>
        <v>38</v>
      </c>
      <c r="D264" s="86" t="str">
        <f xml:space="preserve"> setValueToTime(C264)</f>
        <v>3h 10 min</v>
      </c>
      <c r="E264" s="95"/>
      <c r="F264" s="215"/>
      <c r="G264" s="216"/>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17" t="s">
        <v>38</v>
      </c>
      <c r="G267" s="218"/>
      <c r="H267" s="151"/>
    </row>
    <row r="268" spans="2:8" s="43" customFormat="1" x14ac:dyDescent="0.3">
      <c r="B268" s="40" t="s">
        <v>30</v>
      </c>
      <c r="C268" s="41">
        <v>10</v>
      </c>
      <c r="D268" s="125" t="str">
        <f xml:space="preserve"> IF(C268="","",setValueToTime(C268))</f>
        <v xml:space="preserve"> 50 min</v>
      </c>
      <c r="E268" s="42"/>
      <c r="F268" s="219"/>
      <c r="G268" s="220"/>
      <c r="H268" s="152"/>
    </row>
    <row r="269" spans="2:8" s="43" customFormat="1" ht="27" x14ac:dyDescent="0.3">
      <c r="B269" s="44" t="s">
        <v>50</v>
      </c>
      <c r="C269" s="45">
        <v>6</v>
      </c>
      <c r="D269" s="126" t="str">
        <f t="shared" ref="D269:D275" si="24" xml:space="preserve"> IF(C269="","",setValueToTime(C269))</f>
        <v xml:space="preserve"> 30 min</v>
      </c>
      <c r="E269" s="46"/>
      <c r="F269" s="211"/>
      <c r="G269" s="212"/>
      <c r="H269" s="152"/>
    </row>
    <row r="270" spans="2:8" s="43" customFormat="1" x14ac:dyDescent="0.3">
      <c r="B270" s="44" t="s">
        <v>51</v>
      </c>
      <c r="C270" s="45">
        <v>18</v>
      </c>
      <c r="D270" s="126" t="str">
        <f t="shared" si="24"/>
        <v>1h 30 min</v>
      </c>
      <c r="E270" s="46"/>
      <c r="F270" s="211"/>
      <c r="G270" s="212"/>
      <c r="H270" s="152"/>
    </row>
    <row r="271" spans="2:8" s="43" customFormat="1" x14ac:dyDescent="0.3">
      <c r="B271" s="44" t="s">
        <v>47</v>
      </c>
      <c r="C271" s="45">
        <v>14</v>
      </c>
      <c r="D271" s="126" t="str">
        <f t="shared" si="24"/>
        <v>1h 10 min</v>
      </c>
      <c r="E271" s="46"/>
      <c r="F271" s="211"/>
      <c r="G271" s="212"/>
      <c r="H271" s="152"/>
    </row>
    <row r="272" spans="2:8" s="43" customFormat="1" x14ac:dyDescent="0.3">
      <c r="B272" s="44"/>
      <c r="C272" s="45"/>
      <c r="D272" s="127" t="str">
        <f t="shared" si="24"/>
        <v/>
      </c>
      <c r="E272" s="46"/>
      <c r="F272" s="211"/>
      <c r="G272" s="212"/>
      <c r="H272" s="152"/>
    </row>
    <row r="273" spans="2:8" s="43" customFormat="1" x14ac:dyDescent="0.3">
      <c r="B273" s="44"/>
      <c r="C273" s="45"/>
      <c r="D273" s="127" t="str">
        <f t="shared" si="24"/>
        <v/>
      </c>
      <c r="E273" s="46"/>
      <c r="F273" s="211"/>
      <c r="G273" s="212"/>
      <c r="H273" s="152"/>
    </row>
    <row r="274" spans="2:8" s="43" customFormat="1" x14ac:dyDescent="0.3">
      <c r="B274" s="44"/>
      <c r="C274" s="45"/>
      <c r="D274" s="127" t="str">
        <f t="shared" si="24"/>
        <v/>
      </c>
      <c r="E274" s="46"/>
      <c r="F274" s="211"/>
      <c r="G274" s="212"/>
      <c r="H274" s="152"/>
    </row>
    <row r="275" spans="2:8" s="43" customFormat="1" ht="15" thickBot="1" x14ac:dyDescent="0.35">
      <c r="B275" s="44"/>
      <c r="C275" s="47"/>
      <c r="D275" s="128" t="str">
        <f t="shared" si="24"/>
        <v/>
      </c>
      <c r="E275" s="48"/>
      <c r="F275" s="213"/>
      <c r="G275" s="214"/>
      <c r="H275" s="152"/>
    </row>
    <row r="276" spans="2:8" s="43" customFormat="1" ht="15" thickBot="1" x14ac:dyDescent="0.35">
      <c r="B276" s="86" t="s">
        <v>40</v>
      </c>
      <c r="C276" s="67">
        <f>SUM(C268:C275)</f>
        <v>48</v>
      </c>
      <c r="D276" s="86" t="str">
        <f xml:space="preserve"> setValueToTime(C276)</f>
        <v>4h</v>
      </c>
      <c r="E276" s="95"/>
      <c r="F276" s="215"/>
      <c r="G276" s="216"/>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17" t="s">
        <v>38</v>
      </c>
      <c r="G279" s="218"/>
      <c r="H279" s="151"/>
    </row>
    <row r="280" spans="2:8" s="43" customFormat="1" ht="27" x14ac:dyDescent="0.3">
      <c r="B280" s="40" t="s">
        <v>73</v>
      </c>
      <c r="C280" s="41">
        <v>35</v>
      </c>
      <c r="D280" s="125" t="str">
        <f xml:space="preserve"> IF(C280="","",setValueToTime(C280))</f>
        <v>2h 55 min</v>
      </c>
      <c r="E280" s="42"/>
      <c r="F280" s="219"/>
      <c r="G280" s="220"/>
      <c r="H280" s="152"/>
    </row>
    <row r="281" spans="2:8" s="43" customFormat="1" x14ac:dyDescent="0.3">
      <c r="B281" s="44" t="s">
        <v>29</v>
      </c>
      <c r="C281" s="45">
        <v>3</v>
      </c>
      <c r="D281" s="126" t="str">
        <f t="shared" ref="D281:D287" si="25" xml:space="preserve"> IF(C281="","",setValueToTime(C281))</f>
        <v xml:space="preserve"> 15 min</v>
      </c>
      <c r="E281" s="46"/>
      <c r="F281" s="211"/>
      <c r="G281" s="212"/>
      <c r="H281" s="152"/>
    </row>
    <row r="282" spans="2:8" s="43" customFormat="1" x14ac:dyDescent="0.3">
      <c r="B282" s="44"/>
      <c r="C282" s="45"/>
      <c r="D282" s="126" t="str">
        <f t="shared" si="25"/>
        <v/>
      </c>
      <c r="E282" s="46"/>
      <c r="F282" s="211"/>
      <c r="G282" s="212"/>
      <c r="H282" s="152"/>
    </row>
    <row r="283" spans="2:8" s="43" customFormat="1" x14ac:dyDescent="0.3">
      <c r="B283" s="44"/>
      <c r="C283" s="45"/>
      <c r="D283" s="126" t="str">
        <f t="shared" si="25"/>
        <v/>
      </c>
      <c r="E283" s="46"/>
      <c r="F283" s="211"/>
      <c r="G283" s="212"/>
      <c r="H283" s="152"/>
    </row>
    <row r="284" spans="2:8" s="43" customFormat="1" x14ac:dyDescent="0.3">
      <c r="B284" s="44"/>
      <c r="C284" s="45"/>
      <c r="D284" s="127" t="str">
        <f t="shared" si="25"/>
        <v/>
      </c>
      <c r="E284" s="46"/>
      <c r="F284" s="211"/>
      <c r="G284" s="212"/>
      <c r="H284" s="152"/>
    </row>
    <row r="285" spans="2:8" s="43" customFormat="1" x14ac:dyDescent="0.3">
      <c r="B285" s="44"/>
      <c r="C285" s="45"/>
      <c r="D285" s="127" t="str">
        <f t="shared" si="25"/>
        <v/>
      </c>
      <c r="E285" s="46"/>
      <c r="F285" s="211"/>
      <c r="G285" s="212"/>
      <c r="H285" s="152"/>
    </row>
    <row r="286" spans="2:8" s="43" customFormat="1" x14ac:dyDescent="0.3">
      <c r="B286" s="44"/>
      <c r="C286" s="45"/>
      <c r="D286" s="127" t="str">
        <f t="shared" si="25"/>
        <v/>
      </c>
      <c r="E286" s="46"/>
      <c r="F286" s="211"/>
      <c r="G286" s="212"/>
      <c r="H286" s="152"/>
    </row>
    <row r="287" spans="2:8" s="43" customFormat="1" ht="15" thickBot="1" x14ac:dyDescent="0.35">
      <c r="B287" s="44"/>
      <c r="C287" s="47"/>
      <c r="D287" s="128" t="str">
        <f t="shared" si="25"/>
        <v/>
      </c>
      <c r="E287" s="48"/>
      <c r="F287" s="213"/>
      <c r="G287" s="214"/>
      <c r="H287" s="152"/>
    </row>
    <row r="288" spans="2:8" s="43" customFormat="1" ht="15" thickBot="1" x14ac:dyDescent="0.35">
      <c r="B288" s="86" t="s">
        <v>40</v>
      </c>
      <c r="C288" s="67">
        <f>SUM(C280:C287)</f>
        <v>38</v>
      </c>
      <c r="D288" s="86" t="str">
        <f xml:space="preserve"> setValueToTime(C288)</f>
        <v>3h 10 min</v>
      </c>
      <c r="E288" s="95"/>
      <c r="F288" s="215"/>
      <c r="G288" s="216"/>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17" t="s">
        <v>38</v>
      </c>
      <c r="G291" s="218"/>
      <c r="H291" s="151"/>
    </row>
    <row r="292" spans="2:8" s="43" customFormat="1" x14ac:dyDescent="0.3">
      <c r="B292" s="40" t="s">
        <v>30</v>
      </c>
      <c r="C292" s="41">
        <v>12</v>
      </c>
      <c r="D292" s="125" t="str">
        <f xml:space="preserve"> IF(C292="","",setValueToTime(C292))</f>
        <v>1h</v>
      </c>
      <c r="E292" s="42"/>
      <c r="F292" s="219"/>
      <c r="G292" s="220"/>
      <c r="H292" s="152"/>
    </row>
    <row r="293" spans="2:8" s="43" customFormat="1" x14ac:dyDescent="0.3">
      <c r="B293" s="44" t="s">
        <v>43</v>
      </c>
      <c r="C293" s="45">
        <v>27</v>
      </c>
      <c r="D293" s="126" t="str">
        <f t="shared" ref="D293:D299" si="26" xml:space="preserve"> IF(C293="","",setValueToTime(C293))</f>
        <v>2h 15 min</v>
      </c>
      <c r="E293" s="46"/>
      <c r="F293" s="211"/>
      <c r="G293" s="212"/>
      <c r="H293" s="152"/>
    </row>
    <row r="294" spans="2:8" s="43" customFormat="1" ht="27" x14ac:dyDescent="0.3">
      <c r="B294" s="44" t="s">
        <v>73</v>
      </c>
      <c r="C294" s="45">
        <v>9</v>
      </c>
      <c r="D294" s="126" t="str">
        <f t="shared" si="26"/>
        <v xml:space="preserve"> 45 min</v>
      </c>
      <c r="E294" s="46"/>
      <c r="F294" s="211"/>
      <c r="G294" s="212"/>
      <c r="H294" s="152"/>
    </row>
    <row r="295" spans="2:8" s="43" customFormat="1" x14ac:dyDescent="0.3">
      <c r="B295" s="44"/>
      <c r="C295" s="45"/>
      <c r="D295" s="126" t="str">
        <f t="shared" si="26"/>
        <v/>
      </c>
      <c r="E295" s="46"/>
      <c r="F295" s="211"/>
      <c r="G295" s="212"/>
      <c r="H295" s="152"/>
    </row>
    <row r="296" spans="2:8" s="43" customFormat="1" x14ac:dyDescent="0.3">
      <c r="B296" s="44"/>
      <c r="C296" s="45"/>
      <c r="D296" s="127" t="str">
        <f t="shared" si="26"/>
        <v/>
      </c>
      <c r="E296" s="46"/>
      <c r="F296" s="211"/>
      <c r="G296" s="212"/>
      <c r="H296" s="152"/>
    </row>
    <row r="297" spans="2:8" s="43" customFormat="1" x14ac:dyDescent="0.3">
      <c r="B297" s="44"/>
      <c r="C297" s="45"/>
      <c r="D297" s="127" t="str">
        <f t="shared" si="26"/>
        <v/>
      </c>
      <c r="E297" s="46"/>
      <c r="F297" s="211"/>
      <c r="G297" s="212"/>
      <c r="H297" s="152"/>
    </row>
    <row r="298" spans="2:8" s="43" customFormat="1" x14ac:dyDescent="0.3">
      <c r="B298" s="44"/>
      <c r="C298" s="45"/>
      <c r="D298" s="127" t="str">
        <f t="shared" si="26"/>
        <v/>
      </c>
      <c r="E298" s="46"/>
      <c r="F298" s="211"/>
      <c r="G298" s="212"/>
      <c r="H298" s="152"/>
    </row>
    <row r="299" spans="2:8" s="43" customFormat="1" ht="15" thickBot="1" x14ac:dyDescent="0.35">
      <c r="B299" s="44"/>
      <c r="C299" s="47"/>
      <c r="D299" s="128" t="str">
        <f t="shared" si="26"/>
        <v/>
      </c>
      <c r="E299" s="48"/>
      <c r="F299" s="213"/>
      <c r="G299" s="214"/>
      <c r="H299" s="152"/>
    </row>
    <row r="300" spans="2:8" s="43" customFormat="1" ht="15" thickBot="1" x14ac:dyDescent="0.35">
      <c r="B300" s="86" t="s">
        <v>40</v>
      </c>
      <c r="C300" s="67">
        <f>SUM(C292:C299)</f>
        <v>48</v>
      </c>
      <c r="D300" s="86" t="str">
        <f xml:space="preserve"> setValueToTime(C300)</f>
        <v>4h</v>
      </c>
      <c r="E300" s="95"/>
      <c r="F300" s="215"/>
      <c r="G300" s="216"/>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17" t="s">
        <v>38</v>
      </c>
      <c r="G303" s="218"/>
      <c r="H303" s="151"/>
    </row>
    <row r="304" spans="2:8" s="43" customFormat="1" x14ac:dyDescent="0.3">
      <c r="B304" s="40" t="s">
        <v>28</v>
      </c>
      <c r="C304" s="41">
        <v>23</v>
      </c>
      <c r="D304" s="125" t="str">
        <f xml:space="preserve"> IF(C304="","",setValueToTime(C304))</f>
        <v>1h 55 min</v>
      </c>
      <c r="E304" s="42"/>
      <c r="F304" s="219"/>
      <c r="G304" s="220"/>
      <c r="H304" s="152"/>
    </row>
    <row r="305" spans="2:8" s="43" customFormat="1" x14ac:dyDescent="0.3">
      <c r="B305" s="44" t="s">
        <v>60</v>
      </c>
      <c r="C305" s="45">
        <v>4</v>
      </c>
      <c r="D305" s="126" t="str">
        <f t="shared" ref="D305:D311" si="27" xml:space="preserve"> IF(C305="","",setValueToTime(C305))</f>
        <v xml:space="preserve"> 20 min</v>
      </c>
      <c r="E305" s="46"/>
      <c r="F305" s="211"/>
      <c r="G305" s="212"/>
      <c r="H305" s="152"/>
    </row>
    <row r="306" spans="2:8" s="43" customFormat="1" x14ac:dyDescent="0.3">
      <c r="B306" s="44" t="s">
        <v>29</v>
      </c>
      <c r="C306" s="45">
        <v>2</v>
      </c>
      <c r="D306" s="126" t="str">
        <f t="shared" si="27"/>
        <v xml:space="preserve"> 10 min</v>
      </c>
      <c r="E306" s="46"/>
      <c r="F306" s="211"/>
      <c r="G306" s="212"/>
      <c r="H306" s="152"/>
    </row>
    <row r="307" spans="2:8" s="43" customFormat="1" x14ac:dyDescent="0.3">
      <c r="B307" s="44"/>
      <c r="C307" s="45"/>
      <c r="D307" s="126" t="str">
        <f t="shared" si="27"/>
        <v/>
      </c>
      <c r="E307" s="46"/>
      <c r="F307" s="211"/>
      <c r="G307" s="212"/>
      <c r="H307" s="152"/>
    </row>
    <row r="308" spans="2:8" s="43" customFormat="1" x14ac:dyDescent="0.3">
      <c r="B308" s="44"/>
      <c r="C308" s="45"/>
      <c r="D308" s="127" t="str">
        <f t="shared" si="27"/>
        <v/>
      </c>
      <c r="E308" s="46"/>
      <c r="F308" s="211"/>
      <c r="G308" s="212"/>
      <c r="H308" s="152"/>
    </row>
    <row r="309" spans="2:8" s="43" customFormat="1" x14ac:dyDescent="0.3">
      <c r="B309" s="44"/>
      <c r="C309" s="45"/>
      <c r="D309" s="127" t="str">
        <f t="shared" si="27"/>
        <v/>
      </c>
      <c r="E309" s="46"/>
      <c r="F309" s="211"/>
      <c r="G309" s="212"/>
      <c r="H309" s="152"/>
    </row>
    <row r="310" spans="2:8" s="43" customFormat="1" x14ac:dyDescent="0.3">
      <c r="B310" s="44"/>
      <c r="C310" s="45"/>
      <c r="D310" s="127" t="str">
        <f t="shared" si="27"/>
        <v/>
      </c>
      <c r="E310" s="46"/>
      <c r="F310" s="211"/>
      <c r="G310" s="212"/>
      <c r="H310" s="152"/>
    </row>
    <row r="311" spans="2:8" s="43" customFormat="1" ht="15" thickBot="1" x14ac:dyDescent="0.35">
      <c r="B311" s="44"/>
      <c r="C311" s="47"/>
      <c r="D311" s="128" t="str">
        <f t="shared" si="27"/>
        <v/>
      </c>
      <c r="E311" s="48"/>
      <c r="F311" s="213"/>
      <c r="G311" s="214"/>
      <c r="H311" s="152"/>
    </row>
    <row r="312" spans="2:8" s="43" customFormat="1" ht="15" thickBot="1" x14ac:dyDescent="0.35">
      <c r="B312" s="86" t="s">
        <v>40</v>
      </c>
      <c r="C312" s="67">
        <f>SUM(C304:C311)</f>
        <v>29</v>
      </c>
      <c r="D312" s="86" t="str">
        <f xml:space="preserve"> setValueToTime(C312)</f>
        <v>2h 25 min</v>
      </c>
      <c r="E312" s="95"/>
      <c r="F312" s="215"/>
      <c r="G312" s="216"/>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17" t="s">
        <v>38</v>
      </c>
      <c r="G315" s="218"/>
      <c r="H315" s="151"/>
    </row>
    <row r="316" spans="2:8" s="43" customFormat="1" x14ac:dyDescent="0.3">
      <c r="B316" s="40" t="s">
        <v>61</v>
      </c>
      <c r="C316" s="41">
        <v>14</v>
      </c>
      <c r="D316" s="125" t="str">
        <f xml:space="preserve"> IF(C316="","",setValueToTime(C316))</f>
        <v>1h 10 min</v>
      </c>
      <c r="E316" s="42"/>
      <c r="F316" s="219"/>
      <c r="G316" s="220"/>
      <c r="H316" s="152"/>
    </row>
    <row r="317" spans="2:8" s="43" customFormat="1" x14ac:dyDescent="0.3">
      <c r="B317" s="44" t="s">
        <v>42</v>
      </c>
      <c r="C317" s="45">
        <v>6</v>
      </c>
      <c r="D317" s="126" t="str">
        <f t="shared" ref="D317:D323" si="28" xml:space="preserve"> IF(C317="","",setValueToTime(C317))</f>
        <v xml:space="preserve"> 30 min</v>
      </c>
      <c r="E317" s="46"/>
      <c r="F317" s="211"/>
      <c r="G317" s="212"/>
      <c r="H317" s="152"/>
    </row>
    <row r="318" spans="2:8" s="43" customFormat="1" x14ac:dyDescent="0.3">
      <c r="B318" s="44" t="s">
        <v>60</v>
      </c>
      <c r="C318" s="45">
        <v>2</v>
      </c>
      <c r="D318" s="126" t="str">
        <f t="shared" si="28"/>
        <v xml:space="preserve"> 10 min</v>
      </c>
      <c r="E318" s="46"/>
      <c r="F318" s="211"/>
      <c r="G318" s="212"/>
      <c r="H318" s="152"/>
    </row>
    <row r="319" spans="2:8" s="43" customFormat="1" x14ac:dyDescent="0.3">
      <c r="B319" s="44" t="s">
        <v>70</v>
      </c>
      <c r="C319" s="45">
        <v>2</v>
      </c>
      <c r="D319" s="127" t="str">
        <f t="shared" ref="D319" si="29" xml:space="preserve"> IF(C319="","",setValueToTime(C319))</f>
        <v xml:space="preserve"> 10 min</v>
      </c>
      <c r="E319" s="46"/>
      <c r="F319" s="211"/>
      <c r="G319" s="212"/>
      <c r="H319" s="152"/>
    </row>
    <row r="320" spans="2:8" s="43" customFormat="1" x14ac:dyDescent="0.3">
      <c r="B320" s="44" t="s">
        <v>28</v>
      </c>
      <c r="C320" s="45">
        <v>14</v>
      </c>
      <c r="D320" s="126" t="str">
        <f xml:space="preserve"> IF(C320="","",setValueToTime(C320))</f>
        <v>1h 10 min</v>
      </c>
      <c r="E320" s="46"/>
      <c r="F320" s="211"/>
      <c r="G320" s="212"/>
      <c r="H320" s="152"/>
    </row>
    <row r="321" spans="2:8" s="43" customFormat="1" x14ac:dyDescent="0.3">
      <c r="B321" s="44"/>
      <c r="C321" s="45"/>
      <c r="D321" s="126" t="str">
        <f xml:space="preserve"> IF(C321="","",setValueToTime(C321))</f>
        <v/>
      </c>
      <c r="E321" s="46"/>
      <c r="F321" s="211"/>
      <c r="G321" s="212"/>
      <c r="H321" s="152"/>
    </row>
    <row r="322" spans="2:8" s="43" customFormat="1" x14ac:dyDescent="0.3">
      <c r="B322" s="44"/>
      <c r="C322" s="45"/>
      <c r="D322" s="127" t="str">
        <f t="shared" si="28"/>
        <v/>
      </c>
      <c r="E322" s="46"/>
      <c r="F322" s="211"/>
      <c r="G322" s="212"/>
      <c r="H322" s="152"/>
    </row>
    <row r="323" spans="2:8" s="43" customFormat="1" ht="15" thickBot="1" x14ac:dyDescent="0.35">
      <c r="B323" s="44"/>
      <c r="C323" s="47"/>
      <c r="D323" s="128" t="str">
        <f t="shared" si="28"/>
        <v/>
      </c>
      <c r="E323" s="48"/>
      <c r="F323" s="213"/>
      <c r="G323" s="214"/>
      <c r="H323" s="152"/>
    </row>
    <row r="324" spans="2:8" s="43" customFormat="1" ht="15" thickBot="1" x14ac:dyDescent="0.35">
      <c r="B324" s="86" t="s">
        <v>40</v>
      </c>
      <c r="C324" s="67">
        <f>SUM(C316:C323)</f>
        <v>38</v>
      </c>
      <c r="D324" s="86" t="str">
        <f xml:space="preserve"> setValueToTime(C324)</f>
        <v>3h 10 min</v>
      </c>
      <c r="E324" s="95"/>
      <c r="F324" s="215"/>
      <c r="G324" s="216"/>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47" activePane="bottomLeft" state="frozen"/>
      <selection pane="bottomLeft" activeCell="E156" sqref="E15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223" t="s">
        <v>38</v>
      </c>
      <c r="G3" s="224"/>
      <c r="H3" s="151"/>
    </row>
    <row r="4" spans="2:8" s="43" customFormat="1" x14ac:dyDescent="0.3">
      <c r="B4" s="40"/>
      <c r="C4" s="41"/>
      <c r="D4" s="125" t="str">
        <f xml:space="preserve"> IF(C4="","",setValueToTime(C4))</f>
        <v/>
      </c>
      <c r="E4" s="42"/>
      <c r="F4" s="219"/>
      <c r="G4" s="220"/>
      <c r="H4" s="152"/>
    </row>
    <row r="5" spans="2:8" s="43" customFormat="1" x14ac:dyDescent="0.3">
      <c r="B5" s="44"/>
      <c r="C5" s="45"/>
      <c r="D5" s="126" t="str">
        <f t="shared" ref="D5:D11" si="0" xml:space="preserve"> IF(C5="","",setValueToTime(C5))</f>
        <v/>
      </c>
      <c r="E5" s="46"/>
      <c r="F5" s="211"/>
      <c r="G5" s="212"/>
      <c r="H5" s="152"/>
    </row>
    <row r="6" spans="2:8" s="43" customFormat="1" x14ac:dyDescent="0.3">
      <c r="B6" s="44"/>
      <c r="C6" s="45"/>
      <c r="D6" s="126" t="str">
        <f t="shared" si="0"/>
        <v/>
      </c>
      <c r="E6" s="46"/>
      <c r="F6" s="211"/>
      <c r="G6" s="212"/>
      <c r="H6" s="152"/>
    </row>
    <row r="7" spans="2:8" s="43" customFormat="1" x14ac:dyDescent="0.3">
      <c r="B7" s="44"/>
      <c r="C7" s="45"/>
      <c r="D7" s="126" t="str">
        <f t="shared" si="0"/>
        <v/>
      </c>
      <c r="E7" s="46"/>
      <c r="F7" s="211"/>
      <c r="G7" s="212"/>
      <c r="H7" s="152"/>
    </row>
    <row r="8" spans="2:8" s="43" customFormat="1" x14ac:dyDescent="0.3">
      <c r="B8" s="45"/>
      <c r="C8" s="45"/>
      <c r="D8" s="127" t="str">
        <f t="shared" si="0"/>
        <v/>
      </c>
      <c r="E8" s="46"/>
      <c r="F8" s="211"/>
      <c r="G8" s="212"/>
      <c r="H8" s="152"/>
    </row>
    <row r="9" spans="2:8" s="43" customFormat="1" x14ac:dyDescent="0.3">
      <c r="B9" s="45"/>
      <c r="C9" s="45"/>
      <c r="D9" s="127" t="str">
        <f t="shared" si="0"/>
        <v/>
      </c>
      <c r="E9" s="46"/>
      <c r="F9" s="211"/>
      <c r="G9" s="212"/>
      <c r="H9" s="152"/>
    </row>
    <row r="10" spans="2:8" s="43" customFormat="1" x14ac:dyDescent="0.3">
      <c r="B10" s="45"/>
      <c r="C10" s="45"/>
      <c r="D10" s="127" t="str">
        <f t="shared" si="0"/>
        <v/>
      </c>
      <c r="E10" s="46"/>
      <c r="F10" s="211"/>
      <c r="G10" s="212"/>
      <c r="H10" s="152"/>
    </row>
    <row r="11" spans="2:8" s="43" customFormat="1" ht="15" thickBot="1" x14ac:dyDescent="0.35">
      <c r="B11" s="47"/>
      <c r="C11" s="47"/>
      <c r="D11" s="128" t="str">
        <f t="shared" si="0"/>
        <v/>
      </c>
      <c r="E11" s="48"/>
      <c r="F11" s="213"/>
      <c r="G11" s="214"/>
      <c r="H11" s="152"/>
    </row>
    <row r="12" spans="2:8" s="43" customFormat="1" ht="15" thickBot="1" x14ac:dyDescent="0.35">
      <c r="B12" s="135" t="s">
        <v>40</v>
      </c>
      <c r="C12" s="66">
        <f>SUM(C4:C11)</f>
        <v>0</v>
      </c>
      <c r="D12" s="135" t="str">
        <f xml:space="preserve"> setValueToTime(C12)</f>
        <v/>
      </c>
      <c r="E12" s="96"/>
      <c r="F12" s="221"/>
      <c r="G12" s="222"/>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223" t="s">
        <v>38</v>
      </c>
      <c r="G15" s="224"/>
      <c r="H15" s="151"/>
    </row>
    <row r="16" spans="2:8" s="43" customFormat="1" x14ac:dyDescent="0.3">
      <c r="B16" s="40"/>
      <c r="C16" s="41"/>
      <c r="D16" s="125" t="str">
        <f xml:space="preserve"> IF(C16="","",setValueToTime(C16))</f>
        <v/>
      </c>
      <c r="E16" s="42"/>
      <c r="F16" s="219"/>
      <c r="G16" s="220"/>
      <c r="H16" s="152"/>
    </row>
    <row r="17" spans="2:8" s="43" customFormat="1" x14ac:dyDescent="0.3">
      <c r="B17" s="44"/>
      <c r="C17" s="45"/>
      <c r="D17" s="126" t="str">
        <f t="shared" ref="D17:D23" si="1" xml:space="preserve"> IF(C17="","",setValueToTime(C17))</f>
        <v/>
      </c>
      <c r="E17" s="46"/>
      <c r="F17" s="211"/>
      <c r="G17" s="212"/>
      <c r="H17" s="152"/>
    </row>
    <row r="18" spans="2:8" s="43" customFormat="1" x14ac:dyDescent="0.3">
      <c r="B18" s="44"/>
      <c r="C18" s="45"/>
      <c r="D18" s="126" t="str">
        <f t="shared" si="1"/>
        <v/>
      </c>
      <c r="E18" s="46"/>
      <c r="F18" s="211"/>
      <c r="G18" s="212"/>
      <c r="H18" s="152"/>
    </row>
    <row r="19" spans="2:8" s="43" customFormat="1" x14ac:dyDescent="0.3">
      <c r="B19" s="44"/>
      <c r="C19" s="45"/>
      <c r="D19" s="126" t="str">
        <f t="shared" si="1"/>
        <v/>
      </c>
      <c r="E19" s="46"/>
      <c r="F19" s="211"/>
      <c r="G19" s="212"/>
      <c r="H19" s="152"/>
    </row>
    <row r="20" spans="2:8" s="43" customFormat="1" x14ac:dyDescent="0.3">
      <c r="B20" s="45"/>
      <c r="C20" s="45"/>
      <c r="D20" s="127" t="str">
        <f t="shared" si="1"/>
        <v/>
      </c>
      <c r="E20" s="46"/>
      <c r="F20" s="211"/>
      <c r="G20" s="212"/>
      <c r="H20" s="152"/>
    </row>
    <row r="21" spans="2:8" s="43" customFormat="1" x14ac:dyDescent="0.3">
      <c r="B21" s="45"/>
      <c r="C21" s="45"/>
      <c r="D21" s="127" t="str">
        <f t="shared" si="1"/>
        <v/>
      </c>
      <c r="E21" s="46"/>
      <c r="F21" s="211"/>
      <c r="G21" s="212"/>
      <c r="H21" s="152"/>
    </row>
    <row r="22" spans="2:8" s="43" customFormat="1" x14ac:dyDescent="0.3">
      <c r="B22" s="45"/>
      <c r="C22" s="45"/>
      <c r="D22" s="127" t="str">
        <f t="shared" si="1"/>
        <v/>
      </c>
      <c r="E22" s="46"/>
      <c r="F22" s="211"/>
      <c r="G22" s="212"/>
      <c r="H22" s="152"/>
    </row>
    <row r="23" spans="2:8" s="43" customFormat="1" ht="15" thickBot="1" x14ac:dyDescent="0.35">
      <c r="B23" s="47"/>
      <c r="C23" s="47"/>
      <c r="D23" s="128" t="str">
        <f t="shared" si="1"/>
        <v/>
      </c>
      <c r="E23" s="48"/>
      <c r="F23" s="213"/>
      <c r="G23" s="214"/>
      <c r="H23" s="152"/>
    </row>
    <row r="24" spans="2:8" s="43" customFormat="1" ht="15" thickBot="1" x14ac:dyDescent="0.35">
      <c r="B24" s="135" t="s">
        <v>40</v>
      </c>
      <c r="C24" s="66">
        <f>SUM(C16:C23)</f>
        <v>0</v>
      </c>
      <c r="D24" s="135" t="str">
        <f xml:space="preserve"> setValueToTime(C24)</f>
        <v/>
      </c>
      <c r="E24" s="96"/>
      <c r="F24" s="221"/>
      <c r="G24" s="222"/>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223" t="s">
        <v>38</v>
      </c>
      <c r="G27" s="224"/>
      <c r="H27" s="151"/>
    </row>
    <row r="28" spans="2:8" s="43" customFormat="1" x14ac:dyDescent="0.3">
      <c r="B28" s="40"/>
      <c r="C28" s="41"/>
      <c r="D28" s="125" t="str">
        <f xml:space="preserve"> IF(C28="","",setValueToTime(C28))</f>
        <v/>
      </c>
      <c r="E28" s="42"/>
      <c r="F28" s="219"/>
      <c r="G28" s="220"/>
      <c r="H28" s="152"/>
    </row>
    <row r="29" spans="2:8" s="43" customFormat="1" x14ac:dyDescent="0.3">
      <c r="B29" s="44"/>
      <c r="C29" s="45"/>
      <c r="D29" s="126" t="str">
        <f t="shared" ref="D29:D35" si="2" xml:space="preserve"> IF(C29="","",setValueToTime(C29))</f>
        <v/>
      </c>
      <c r="E29" s="46"/>
      <c r="F29" s="211"/>
      <c r="G29" s="212"/>
      <c r="H29" s="152"/>
    </row>
    <row r="30" spans="2:8" s="43" customFormat="1" x14ac:dyDescent="0.3">
      <c r="B30" s="44"/>
      <c r="C30" s="45"/>
      <c r="D30" s="126" t="str">
        <f t="shared" si="2"/>
        <v/>
      </c>
      <c r="E30" s="46"/>
      <c r="F30" s="211"/>
      <c r="G30" s="212"/>
      <c r="H30" s="152"/>
    </row>
    <row r="31" spans="2:8" s="43" customFormat="1" x14ac:dyDescent="0.3">
      <c r="B31" s="44"/>
      <c r="C31" s="45"/>
      <c r="D31" s="126" t="str">
        <f t="shared" si="2"/>
        <v/>
      </c>
      <c r="E31" s="46"/>
      <c r="F31" s="211"/>
      <c r="G31" s="212"/>
      <c r="H31" s="152"/>
    </row>
    <row r="32" spans="2:8" s="43" customFormat="1" x14ac:dyDescent="0.3">
      <c r="B32" s="45"/>
      <c r="C32" s="45"/>
      <c r="D32" s="127" t="str">
        <f t="shared" si="2"/>
        <v/>
      </c>
      <c r="E32" s="46"/>
      <c r="F32" s="211"/>
      <c r="G32" s="212"/>
      <c r="H32" s="152"/>
    </row>
    <row r="33" spans="2:8" s="43" customFormat="1" x14ac:dyDescent="0.3">
      <c r="B33" s="45"/>
      <c r="C33" s="45"/>
      <c r="D33" s="127" t="str">
        <f t="shared" si="2"/>
        <v/>
      </c>
      <c r="E33" s="46"/>
      <c r="F33" s="211"/>
      <c r="G33" s="212"/>
      <c r="H33" s="152"/>
    </row>
    <row r="34" spans="2:8" s="43" customFormat="1" x14ac:dyDescent="0.3">
      <c r="B34" s="45"/>
      <c r="C34" s="45"/>
      <c r="D34" s="127" t="str">
        <f t="shared" si="2"/>
        <v/>
      </c>
      <c r="E34" s="46"/>
      <c r="F34" s="211"/>
      <c r="G34" s="212"/>
      <c r="H34" s="152"/>
    </row>
    <row r="35" spans="2:8" s="43" customFormat="1" ht="15" thickBot="1" x14ac:dyDescent="0.35">
      <c r="B35" s="47"/>
      <c r="C35" s="47"/>
      <c r="D35" s="128" t="str">
        <f t="shared" si="2"/>
        <v/>
      </c>
      <c r="E35" s="48"/>
      <c r="F35" s="213"/>
      <c r="G35" s="214"/>
      <c r="H35" s="152"/>
    </row>
    <row r="36" spans="2:8" s="43" customFormat="1" ht="15" thickBot="1" x14ac:dyDescent="0.35">
      <c r="B36" s="135" t="s">
        <v>40</v>
      </c>
      <c r="C36" s="66">
        <f>SUM(C28:C35)</f>
        <v>0</v>
      </c>
      <c r="D36" s="135" t="str">
        <f xml:space="preserve"> setValueToTime(C36)</f>
        <v/>
      </c>
      <c r="E36" s="96"/>
      <c r="F36" s="221"/>
      <c r="G36" s="222"/>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223" t="s">
        <v>38</v>
      </c>
      <c r="G39" s="224"/>
      <c r="H39" s="151"/>
    </row>
    <row r="40" spans="2:8" s="43" customFormat="1" x14ac:dyDescent="0.3">
      <c r="B40" s="40"/>
      <c r="C40" s="41"/>
      <c r="D40" s="125" t="str">
        <f xml:space="preserve"> IF(C40="","",setValueToTime(C40))</f>
        <v/>
      </c>
      <c r="E40" s="42"/>
      <c r="F40" s="219"/>
      <c r="G40" s="220"/>
      <c r="H40" s="152"/>
    </row>
    <row r="41" spans="2:8" s="43" customFormat="1" x14ac:dyDescent="0.3">
      <c r="B41" s="44"/>
      <c r="C41" s="45"/>
      <c r="D41" s="126" t="str">
        <f t="shared" ref="D41:D47" si="3" xml:space="preserve"> IF(C41="","",setValueToTime(C41))</f>
        <v/>
      </c>
      <c r="E41" s="46"/>
      <c r="F41" s="211"/>
      <c r="G41" s="212"/>
      <c r="H41" s="152"/>
    </row>
    <row r="42" spans="2:8" s="43" customFormat="1" x14ac:dyDescent="0.3">
      <c r="B42" s="44"/>
      <c r="C42" s="45"/>
      <c r="D42" s="126" t="str">
        <f t="shared" si="3"/>
        <v/>
      </c>
      <c r="E42" s="46"/>
      <c r="F42" s="211"/>
      <c r="G42" s="212"/>
      <c r="H42" s="152"/>
    </row>
    <row r="43" spans="2:8" s="43" customFormat="1" x14ac:dyDescent="0.3">
      <c r="B43" s="44"/>
      <c r="C43" s="45"/>
      <c r="D43" s="126" t="str">
        <f t="shared" si="3"/>
        <v/>
      </c>
      <c r="E43" s="46"/>
      <c r="F43" s="211"/>
      <c r="G43" s="212"/>
      <c r="H43" s="152"/>
    </row>
    <row r="44" spans="2:8" s="43" customFormat="1" x14ac:dyDescent="0.3">
      <c r="B44" s="45"/>
      <c r="C44" s="45"/>
      <c r="D44" s="127" t="str">
        <f t="shared" si="3"/>
        <v/>
      </c>
      <c r="E44" s="46"/>
      <c r="F44" s="211"/>
      <c r="G44" s="212"/>
      <c r="H44" s="152"/>
    </row>
    <row r="45" spans="2:8" s="43" customFormat="1" x14ac:dyDescent="0.3">
      <c r="B45" s="45"/>
      <c r="C45" s="45"/>
      <c r="D45" s="127" t="str">
        <f t="shared" si="3"/>
        <v/>
      </c>
      <c r="E45" s="46"/>
      <c r="F45" s="211"/>
      <c r="G45" s="212"/>
      <c r="H45" s="152"/>
    </row>
    <row r="46" spans="2:8" s="43" customFormat="1" x14ac:dyDescent="0.3">
      <c r="B46" s="45"/>
      <c r="C46" s="45"/>
      <c r="D46" s="127" t="str">
        <f t="shared" si="3"/>
        <v/>
      </c>
      <c r="E46" s="46"/>
      <c r="F46" s="211"/>
      <c r="G46" s="212"/>
      <c r="H46" s="152"/>
    </row>
    <row r="47" spans="2:8" s="43" customFormat="1" ht="15" thickBot="1" x14ac:dyDescent="0.35">
      <c r="B47" s="47"/>
      <c r="C47" s="47"/>
      <c r="D47" s="128" t="str">
        <f t="shared" si="3"/>
        <v/>
      </c>
      <c r="E47" s="48"/>
      <c r="F47" s="213"/>
      <c r="G47" s="214"/>
      <c r="H47" s="152"/>
    </row>
    <row r="48" spans="2:8" s="43" customFormat="1" ht="15" thickBot="1" x14ac:dyDescent="0.35">
      <c r="B48" s="135" t="s">
        <v>40</v>
      </c>
      <c r="C48" s="66">
        <f>SUM(C40:C47)</f>
        <v>0</v>
      </c>
      <c r="D48" s="135" t="str">
        <f xml:space="preserve"> setValueToTime(C48)</f>
        <v/>
      </c>
      <c r="E48" s="96"/>
      <c r="F48" s="221"/>
      <c r="G48" s="222"/>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223" t="s">
        <v>38</v>
      </c>
      <c r="G51" s="224"/>
      <c r="H51" s="151"/>
    </row>
    <row r="52" spans="2:8" s="43" customFormat="1" x14ac:dyDescent="0.3">
      <c r="B52" s="40"/>
      <c r="C52" s="41"/>
      <c r="D52" s="125" t="str">
        <f xml:space="preserve"> IF(C52="","",setValueToTime(C52))</f>
        <v/>
      </c>
      <c r="E52" s="42"/>
      <c r="F52" s="219"/>
      <c r="G52" s="220"/>
      <c r="H52" s="152"/>
    </row>
    <row r="53" spans="2:8" s="43" customFormat="1" x14ac:dyDescent="0.3">
      <c r="B53" s="44"/>
      <c r="C53" s="45"/>
      <c r="D53" s="126" t="str">
        <f t="shared" ref="D53:D59" si="4" xml:space="preserve"> IF(C53="","",setValueToTime(C53))</f>
        <v/>
      </c>
      <c r="E53" s="46"/>
      <c r="F53" s="211"/>
      <c r="G53" s="212"/>
      <c r="H53" s="152"/>
    </row>
    <row r="54" spans="2:8" s="43" customFormat="1" x14ac:dyDescent="0.3">
      <c r="B54" s="44"/>
      <c r="C54" s="45"/>
      <c r="D54" s="126" t="str">
        <f t="shared" si="4"/>
        <v/>
      </c>
      <c r="E54" s="46"/>
      <c r="F54" s="211"/>
      <c r="G54" s="212"/>
      <c r="H54" s="152"/>
    </row>
    <row r="55" spans="2:8" s="43" customFormat="1" x14ac:dyDescent="0.3">
      <c r="B55" s="44"/>
      <c r="C55" s="45"/>
      <c r="D55" s="126" t="str">
        <f t="shared" si="4"/>
        <v/>
      </c>
      <c r="E55" s="46"/>
      <c r="F55" s="211"/>
      <c r="G55" s="212"/>
      <c r="H55" s="152"/>
    </row>
    <row r="56" spans="2:8" s="43" customFormat="1" x14ac:dyDescent="0.3">
      <c r="B56" s="45"/>
      <c r="C56" s="45"/>
      <c r="D56" s="127" t="str">
        <f t="shared" si="4"/>
        <v/>
      </c>
      <c r="E56" s="46"/>
      <c r="F56" s="211"/>
      <c r="G56" s="212"/>
      <c r="H56" s="152"/>
    </row>
    <row r="57" spans="2:8" s="43" customFormat="1" x14ac:dyDescent="0.3">
      <c r="B57" s="45"/>
      <c r="C57" s="45"/>
      <c r="D57" s="127" t="str">
        <f t="shared" si="4"/>
        <v/>
      </c>
      <c r="E57" s="46"/>
      <c r="F57" s="211"/>
      <c r="G57" s="212"/>
      <c r="H57" s="152"/>
    </row>
    <row r="58" spans="2:8" s="43" customFormat="1" x14ac:dyDescent="0.3">
      <c r="B58" s="45"/>
      <c r="C58" s="45"/>
      <c r="D58" s="127" t="str">
        <f t="shared" si="4"/>
        <v/>
      </c>
      <c r="E58" s="46"/>
      <c r="F58" s="211"/>
      <c r="G58" s="212"/>
      <c r="H58" s="152"/>
    </row>
    <row r="59" spans="2:8" s="43" customFormat="1" ht="15" thickBot="1" x14ac:dyDescent="0.35">
      <c r="B59" s="47"/>
      <c r="C59" s="47"/>
      <c r="D59" s="128" t="str">
        <f t="shared" si="4"/>
        <v/>
      </c>
      <c r="E59" s="48"/>
      <c r="F59" s="213"/>
      <c r="G59" s="214"/>
      <c r="H59" s="152"/>
    </row>
    <row r="60" spans="2:8" s="43" customFormat="1" ht="15" thickBot="1" x14ac:dyDescent="0.35">
      <c r="B60" s="135" t="s">
        <v>40</v>
      </c>
      <c r="C60" s="66">
        <f>SUM(C52:C59)</f>
        <v>0</v>
      </c>
      <c r="D60" s="135" t="str">
        <f xml:space="preserve"> setValueToTime(C60)</f>
        <v/>
      </c>
      <c r="E60" s="96"/>
      <c r="F60" s="221"/>
      <c r="G60" s="222"/>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223" t="s">
        <v>38</v>
      </c>
      <c r="G63" s="224"/>
      <c r="H63" s="151"/>
    </row>
    <row r="64" spans="2:8" s="43" customFormat="1" x14ac:dyDescent="0.3">
      <c r="B64" s="40"/>
      <c r="C64" s="41"/>
      <c r="D64" s="125" t="str">
        <f xml:space="preserve"> IF(C64="","",setValueToTime(C64))</f>
        <v/>
      </c>
      <c r="E64" s="42"/>
      <c r="F64" s="219"/>
      <c r="G64" s="220"/>
      <c r="H64" s="152"/>
    </row>
    <row r="65" spans="2:8" s="43" customFormat="1" x14ac:dyDescent="0.3">
      <c r="B65" s="44"/>
      <c r="C65" s="45"/>
      <c r="D65" s="126" t="str">
        <f t="shared" ref="D65:D71" si="5" xml:space="preserve"> IF(C65="","",setValueToTime(C65))</f>
        <v/>
      </c>
      <c r="E65" s="46"/>
      <c r="F65" s="211"/>
      <c r="G65" s="212"/>
      <c r="H65" s="152"/>
    </row>
    <row r="66" spans="2:8" s="43" customFormat="1" x14ac:dyDescent="0.3">
      <c r="B66" s="44"/>
      <c r="C66" s="45"/>
      <c r="D66" s="126" t="str">
        <f t="shared" si="5"/>
        <v/>
      </c>
      <c r="E66" s="46"/>
      <c r="F66" s="211"/>
      <c r="G66" s="212"/>
      <c r="H66" s="152"/>
    </row>
    <row r="67" spans="2:8" s="43" customFormat="1" x14ac:dyDescent="0.3">
      <c r="B67" s="44"/>
      <c r="C67" s="45"/>
      <c r="D67" s="126" t="str">
        <f t="shared" si="5"/>
        <v/>
      </c>
      <c r="E67" s="46"/>
      <c r="F67" s="211"/>
      <c r="G67" s="212"/>
      <c r="H67" s="152"/>
    </row>
    <row r="68" spans="2:8" s="43" customFormat="1" x14ac:dyDescent="0.3">
      <c r="B68" s="45"/>
      <c r="C68" s="45"/>
      <c r="D68" s="127" t="str">
        <f t="shared" si="5"/>
        <v/>
      </c>
      <c r="E68" s="46"/>
      <c r="F68" s="211"/>
      <c r="G68" s="212"/>
      <c r="H68" s="152"/>
    </row>
    <row r="69" spans="2:8" s="43" customFormat="1" x14ac:dyDescent="0.3">
      <c r="B69" s="45"/>
      <c r="C69" s="45"/>
      <c r="D69" s="127" t="str">
        <f t="shared" si="5"/>
        <v/>
      </c>
      <c r="E69" s="46"/>
      <c r="F69" s="211"/>
      <c r="G69" s="212"/>
      <c r="H69" s="152"/>
    </row>
    <row r="70" spans="2:8" s="43" customFormat="1" x14ac:dyDescent="0.3">
      <c r="B70" s="45"/>
      <c r="C70" s="45"/>
      <c r="D70" s="127" t="str">
        <f t="shared" si="5"/>
        <v/>
      </c>
      <c r="E70" s="46"/>
      <c r="F70" s="211"/>
      <c r="G70" s="212"/>
      <c r="H70" s="152"/>
    </row>
    <row r="71" spans="2:8" s="43" customFormat="1" ht="15" thickBot="1" x14ac:dyDescent="0.35">
      <c r="B71" s="47"/>
      <c r="C71" s="47"/>
      <c r="D71" s="128" t="str">
        <f t="shared" si="5"/>
        <v/>
      </c>
      <c r="E71" s="48"/>
      <c r="F71" s="213"/>
      <c r="G71" s="214"/>
      <c r="H71" s="152"/>
    </row>
    <row r="72" spans="2:8" s="43" customFormat="1" ht="15" thickBot="1" x14ac:dyDescent="0.35">
      <c r="B72" s="135" t="s">
        <v>40</v>
      </c>
      <c r="C72" s="66">
        <f>SUM(C64:C71)</f>
        <v>0</v>
      </c>
      <c r="D72" s="135" t="str">
        <f xml:space="preserve"> setValueToTime(C72)</f>
        <v/>
      </c>
      <c r="E72" s="96"/>
      <c r="F72" s="221"/>
      <c r="G72" s="222"/>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223" t="s">
        <v>38</v>
      </c>
      <c r="G75" s="224"/>
      <c r="H75" s="151"/>
    </row>
    <row r="76" spans="2:8" s="43" customFormat="1" x14ac:dyDescent="0.3">
      <c r="B76" s="40"/>
      <c r="C76" s="41"/>
      <c r="D76" s="125" t="str">
        <f xml:space="preserve"> IF(C76="","",setValueToTime(C76))</f>
        <v/>
      </c>
      <c r="E76" s="42"/>
      <c r="F76" s="219"/>
      <c r="G76" s="220"/>
      <c r="H76" s="152"/>
    </row>
    <row r="77" spans="2:8" s="43" customFormat="1" x14ac:dyDescent="0.3">
      <c r="B77" s="44"/>
      <c r="C77" s="45"/>
      <c r="D77" s="126" t="str">
        <f t="shared" ref="D77:D83" si="6" xml:space="preserve"> IF(C77="","",setValueToTime(C77))</f>
        <v/>
      </c>
      <c r="E77" s="46"/>
      <c r="F77" s="211"/>
      <c r="G77" s="212"/>
      <c r="H77" s="152"/>
    </row>
    <row r="78" spans="2:8" s="43" customFormat="1" x14ac:dyDescent="0.3">
      <c r="B78" s="44"/>
      <c r="C78" s="45"/>
      <c r="D78" s="126" t="str">
        <f t="shared" si="6"/>
        <v/>
      </c>
      <c r="E78" s="46"/>
      <c r="F78" s="211"/>
      <c r="G78" s="212"/>
      <c r="H78" s="152"/>
    </row>
    <row r="79" spans="2:8" s="43" customFormat="1" x14ac:dyDescent="0.3">
      <c r="B79" s="44"/>
      <c r="C79" s="45"/>
      <c r="D79" s="126" t="str">
        <f t="shared" si="6"/>
        <v/>
      </c>
      <c r="E79" s="46"/>
      <c r="F79" s="211"/>
      <c r="G79" s="212"/>
      <c r="H79" s="152"/>
    </row>
    <row r="80" spans="2:8" s="43" customFormat="1" x14ac:dyDescent="0.3">
      <c r="B80" s="45"/>
      <c r="C80" s="45"/>
      <c r="D80" s="127" t="str">
        <f t="shared" si="6"/>
        <v/>
      </c>
      <c r="E80" s="46"/>
      <c r="F80" s="211"/>
      <c r="G80" s="212"/>
      <c r="H80" s="152"/>
    </row>
    <row r="81" spans="2:8" s="43" customFormat="1" x14ac:dyDescent="0.3">
      <c r="B81" s="45"/>
      <c r="C81" s="45"/>
      <c r="D81" s="127" t="str">
        <f t="shared" si="6"/>
        <v/>
      </c>
      <c r="E81" s="46"/>
      <c r="F81" s="211"/>
      <c r="G81" s="212"/>
      <c r="H81" s="152"/>
    </row>
    <row r="82" spans="2:8" s="43" customFormat="1" x14ac:dyDescent="0.3">
      <c r="B82" s="45"/>
      <c r="C82" s="45"/>
      <c r="D82" s="127" t="str">
        <f t="shared" si="6"/>
        <v/>
      </c>
      <c r="E82" s="46"/>
      <c r="F82" s="211"/>
      <c r="G82" s="212"/>
      <c r="H82" s="152"/>
    </row>
    <row r="83" spans="2:8" s="43" customFormat="1" ht="15" thickBot="1" x14ac:dyDescent="0.35">
      <c r="B83" s="47"/>
      <c r="C83" s="47"/>
      <c r="D83" s="128" t="str">
        <f t="shared" si="6"/>
        <v/>
      </c>
      <c r="E83" s="48"/>
      <c r="F83" s="213"/>
      <c r="G83" s="214"/>
      <c r="H83" s="152"/>
    </row>
    <row r="84" spans="2:8" s="43" customFormat="1" ht="15" thickBot="1" x14ac:dyDescent="0.35">
      <c r="B84" s="135" t="s">
        <v>40</v>
      </c>
      <c r="C84" s="66">
        <f>SUM(C76:C83)</f>
        <v>0</v>
      </c>
      <c r="D84" s="135" t="str">
        <f xml:space="preserve"> setValueToTime(C84)</f>
        <v/>
      </c>
      <c r="E84" s="96"/>
      <c r="F84" s="221"/>
      <c r="G84" s="222"/>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223" t="s">
        <v>38</v>
      </c>
      <c r="G87" s="224"/>
      <c r="H87" s="151"/>
    </row>
    <row r="88" spans="2:8" s="43" customFormat="1" x14ac:dyDescent="0.3">
      <c r="B88" s="40"/>
      <c r="C88" s="41"/>
      <c r="D88" s="125" t="str">
        <f xml:space="preserve"> IF(C88="","",setValueToTime(C88))</f>
        <v/>
      </c>
      <c r="E88" s="42"/>
      <c r="F88" s="219"/>
      <c r="G88" s="220"/>
      <c r="H88" s="152"/>
    </row>
    <row r="89" spans="2:8" s="43" customFormat="1" x14ac:dyDescent="0.3">
      <c r="B89" s="44"/>
      <c r="C89" s="45"/>
      <c r="D89" s="126" t="str">
        <f t="shared" ref="D89:D95" si="7" xml:space="preserve"> IF(C89="","",setValueToTime(C89))</f>
        <v/>
      </c>
      <c r="E89" s="46"/>
      <c r="F89" s="211"/>
      <c r="G89" s="212"/>
      <c r="H89" s="152"/>
    </row>
    <row r="90" spans="2:8" s="43" customFormat="1" x14ac:dyDescent="0.3">
      <c r="B90" s="44"/>
      <c r="C90" s="45"/>
      <c r="D90" s="126" t="str">
        <f t="shared" si="7"/>
        <v/>
      </c>
      <c r="E90" s="46"/>
      <c r="F90" s="211"/>
      <c r="G90" s="212"/>
      <c r="H90" s="152"/>
    </row>
    <row r="91" spans="2:8" s="43" customFormat="1" x14ac:dyDescent="0.3">
      <c r="B91" s="44"/>
      <c r="C91" s="45"/>
      <c r="D91" s="126" t="str">
        <f t="shared" si="7"/>
        <v/>
      </c>
      <c r="E91" s="46"/>
      <c r="F91" s="211"/>
      <c r="G91" s="212"/>
      <c r="H91" s="152"/>
    </row>
    <row r="92" spans="2:8" s="43" customFormat="1" x14ac:dyDescent="0.3">
      <c r="B92" s="45"/>
      <c r="C92" s="45"/>
      <c r="D92" s="127" t="str">
        <f t="shared" si="7"/>
        <v/>
      </c>
      <c r="E92" s="46"/>
      <c r="F92" s="211"/>
      <c r="G92" s="212"/>
      <c r="H92" s="152"/>
    </row>
    <row r="93" spans="2:8" s="43" customFormat="1" x14ac:dyDescent="0.3">
      <c r="B93" s="45"/>
      <c r="C93" s="45"/>
      <c r="D93" s="127" t="str">
        <f t="shared" si="7"/>
        <v/>
      </c>
      <c r="E93" s="46"/>
      <c r="F93" s="211"/>
      <c r="G93" s="212"/>
      <c r="H93" s="152"/>
    </row>
    <row r="94" spans="2:8" s="43" customFormat="1" x14ac:dyDescent="0.3">
      <c r="B94" s="45"/>
      <c r="C94" s="45"/>
      <c r="D94" s="127" t="str">
        <f t="shared" si="7"/>
        <v/>
      </c>
      <c r="E94" s="46"/>
      <c r="F94" s="211"/>
      <c r="G94" s="212"/>
      <c r="H94" s="152"/>
    </row>
    <row r="95" spans="2:8" s="43" customFormat="1" ht="15" thickBot="1" x14ac:dyDescent="0.35">
      <c r="B95" s="47"/>
      <c r="C95" s="47"/>
      <c r="D95" s="128" t="str">
        <f t="shared" si="7"/>
        <v/>
      </c>
      <c r="E95" s="48"/>
      <c r="F95" s="213"/>
      <c r="G95" s="214"/>
      <c r="H95" s="152"/>
    </row>
    <row r="96" spans="2:8" s="43" customFormat="1" ht="15" thickBot="1" x14ac:dyDescent="0.35">
      <c r="B96" s="135" t="s">
        <v>40</v>
      </c>
      <c r="C96" s="66">
        <f>SUM(C88:C95)</f>
        <v>0</v>
      </c>
      <c r="D96" s="135" t="str">
        <f xml:space="preserve"> setValueToTime(C96)</f>
        <v/>
      </c>
      <c r="E96" s="96"/>
      <c r="F96" s="221"/>
      <c r="G96" s="222"/>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223" t="s">
        <v>38</v>
      </c>
      <c r="G99" s="224"/>
      <c r="H99" s="151"/>
    </row>
    <row r="100" spans="2:8" s="43" customFormat="1" x14ac:dyDescent="0.3">
      <c r="B100" s="40"/>
      <c r="C100" s="41"/>
      <c r="D100" s="125" t="str">
        <f xml:space="preserve"> IF(C100="","",setValueToTime(C100))</f>
        <v/>
      </c>
      <c r="E100" s="42"/>
      <c r="F100" s="219"/>
      <c r="G100" s="220"/>
      <c r="H100" s="152"/>
    </row>
    <row r="101" spans="2:8" s="43" customFormat="1" x14ac:dyDescent="0.3">
      <c r="B101" s="44"/>
      <c r="C101" s="45"/>
      <c r="D101" s="126" t="str">
        <f t="shared" ref="D101:D107" si="8" xml:space="preserve"> IF(C101="","",setValueToTime(C101))</f>
        <v/>
      </c>
      <c r="E101" s="46"/>
      <c r="F101" s="211"/>
      <c r="G101" s="212"/>
      <c r="H101" s="152"/>
    </row>
    <row r="102" spans="2:8" s="43" customFormat="1" x14ac:dyDescent="0.3">
      <c r="B102" s="44"/>
      <c r="C102" s="45"/>
      <c r="D102" s="126" t="str">
        <f t="shared" si="8"/>
        <v/>
      </c>
      <c r="E102" s="46"/>
      <c r="F102" s="211"/>
      <c r="G102" s="212"/>
      <c r="H102" s="152"/>
    </row>
    <row r="103" spans="2:8" s="43" customFormat="1" x14ac:dyDescent="0.3">
      <c r="B103" s="44"/>
      <c r="C103" s="45"/>
      <c r="D103" s="126" t="str">
        <f t="shared" si="8"/>
        <v/>
      </c>
      <c r="E103" s="46"/>
      <c r="F103" s="211"/>
      <c r="G103" s="212"/>
      <c r="H103" s="152"/>
    </row>
    <row r="104" spans="2:8" s="43" customFormat="1" x14ac:dyDescent="0.3">
      <c r="B104" s="45"/>
      <c r="C104" s="45"/>
      <c r="D104" s="127" t="str">
        <f t="shared" si="8"/>
        <v/>
      </c>
      <c r="E104" s="46"/>
      <c r="F104" s="211"/>
      <c r="G104" s="212"/>
      <c r="H104" s="152"/>
    </row>
    <row r="105" spans="2:8" s="43" customFormat="1" x14ac:dyDescent="0.3">
      <c r="B105" s="45"/>
      <c r="C105" s="45"/>
      <c r="D105" s="127" t="str">
        <f t="shared" si="8"/>
        <v/>
      </c>
      <c r="E105" s="46"/>
      <c r="F105" s="211"/>
      <c r="G105" s="212"/>
      <c r="H105" s="152"/>
    </row>
    <row r="106" spans="2:8" s="43" customFormat="1" x14ac:dyDescent="0.3">
      <c r="B106" s="45"/>
      <c r="C106" s="45"/>
      <c r="D106" s="127" t="str">
        <f t="shared" si="8"/>
        <v/>
      </c>
      <c r="E106" s="46"/>
      <c r="F106" s="211"/>
      <c r="G106" s="212"/>
      <c r="H106" s="152"/>
    </row>
    <row r="107" spans="2:8" s="43" customFormat="1" ht="15" thickBot="1" x14ac:dyDescent="0.35">
      <c r="B107" s="47"/>
      <c r="C107" s="47"/>
      <c r="D107" s="128" t="str">
        <f t="shared" si="8"/>
        <v/>
      </c>
      <c r="E107" s="48"/>
      <c r="F107" s="213"/>
      <c r="G107" s="214"/>
      <c r="H107" s="152"/>
    </row>
    <row r="108" spans="2:8" s="43" customFormat="1" ht="15" thickBot="1" x14ac:dyDescent="0.35">
      <c r="B108" s="135" t="s">
        <v>40</v>
      </c>
      <c r="C108" s="66">
        <f>SUM(C100:C107)</f>
        <v>0</v>
      </c>
      <c r="D108" s="135" t="str">
        <f xml:space="preserve"> setValueToTime(C108)</f>
        <v/>
      </c>
      <c r="E108" s="96"/>
      <c r="F108" s="221"/>
      <c r="G108" s="222"/>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223" t="s">
        <v>38</v>
      </c>
      <c r="G111" s="224"/>
      <c r="H111" s="151"/>
    </row>
    <row r="112" spans="2:8" s="43" customFormat="1" x14ac:dyDescent="0.3">
      <c r="B112" s="40"/>
      <c r="C112" s="41"/>
      <c r="D112" s="125" t="str">
        <f xml:space="preserve"> IF(C112="","",setValueToTime(C112))</f>
        <v/>
      </c>
      <c r="E112" s="42"/>
      <c r="F112" s="219"/>
      <c r="G112" s="220"/>
      <c r="H112" s="152"/>
    </row>
    <row r="113" spans="2:8" s="43" customFormat="1" x14ac:dyDescent="0.3">
      <c r="B113" s="44"/>
      <c r="C113" s="45"/>
      <c r="D113" s="126" t="str">
        <f t="shared" ref="D113:D119" si="9" xml:space="preserve"> IF(C113="","",setValueToTime(C113))</f>
        <v/>
      </c>
      <c r="E113" s="46"/>
      <c r="F113" s="211"/>
      <c r="G113" s="212"/>
      <c r="H113" s="152"/>
    </row>
    <row r="114" spans="2:8" s="43" customFormat="1" x14ac:dyDescent="0.3">
      <c r="B114" s="44"/>
      <c r="C114" s="45"/>
      <c r="D114" s="126" t="str">
        <f t="shared" si="9"/>
        <v/>
      </c>
      <c r="E114" s="46"/>
      <c r="F114" s="211"/>
      <c r="G114" s="212"/>
      <c r="H114" s="152"/>
    </row>
    <row r="115" spans="2:8" s="43" customFormat="1" x14ac:dyDescent="0.3">
      <c r="B115" s="44"/>
      <c r="C115" s="45"/>
      <c r="D115" s="126" t="str">
        <f t="shared" si="9"/>
        <v/>
      </c>
      <c r="E115" s="46"/>
      <c r="F115" s="211"/>
      <c r="G115" s="212"/>
      <c r="H115" s="152"/>
    </row>
    <row r="116" spans="2:8" s="43" customFormat="1" x14ac:dyDescent="0.3">
      <c r="B116" s="45"/>
      <c r="C116" s="45"/>
      <c r="D116" s="127" t="str">
        <f t="shared" si="9"/>
        <v/>
      </c>
      <c r="E116" s="46"/>
      <c r="F116" s="211"/>
      <c r="G116" s="212"/>
      <c r="H116" s="152"/>
    </row>
    <row r="117" spans="2:8" s="43" customFormat="1" x14ac:dyDescent="0.3">
      <c r="B117" s="45"/>
      <c r="C117" s="45"/>
      <c r="D117" s="127" t="str">
        <f t="shared" si="9"/>
        <v/>
      </c>
      <c r="E117" s="46"/>
      <c r="F117" s="211"/>
      <c r="G117" s="212"/>
      <c r="H117" s="152"/>
    </row>
    <row r="118" spans="2:8" s="43" customFormat="1" x14ac:dyDescent="0.3">
      <c r="B118" s="45"/>
      <c r="C118" s="45"/>
      <c r="D118" s="127" t="str">
        <f t="shared" si="9"/>
        <v/>
      </c>
      <c r="E118" s="46"/>
      <c r="F118" s="211"/>
      <c r="G118" s="212"/>
      <c r="H118" s="152"/>
    </row>
    <row r="119" spans="2:8" s="43" customFormat="1" ht="15" thickBot="1" x14ac:dyDescent="0.35">
      <c r="B119" s="47"/>
      <c r="C119" s="47"/>
      <c r="D119" s="128" t="str">
        <f t="shared" si="9"/>
        <v/>
      </c>
      <c r="E119" s="48"/>
      <c r="F119" s="213"/>
      <c r="G119" s="214"/>
      <c r="H119" s="152"/>
    </row>
    <row r="120" spans="2:8" s="43" customFormat="1" ht="15" thickBot="1" x14ac:dyDescent="0.35">
      <c r="B120" s="135" t="s">
        <v>40</v>
      </c>
      <c r="C120" s="66">
        <f>SUM(C112:C119)</f>
        <v>0</v>
      </c>
      <c r="D120" s="135" t="str">
        <f xml:space="preserve"> setValueToTime(C120)</f>
        <v/>
      </c>
      <c r="E120" s="96"/>
      <c r="F120" s="221"/>
      <c r="G120" s="222"/>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223" t="s">
        <v>38</v>
      </c>
      <c r="G123" s="224"/>
      <c r="H123" s="151"/>
    </row>
    <row r="124" spans="2:8" s="43" customFormat="1" x14ac:dyDescent="0.3">
      <c r="B124" s="40"/>
      <c r="C124" s="41"/>
      <c r="D124" s="125" t="str">
        <f xml:space="preserve"> IF(C124="","",setValueToTime(C124))</f>
        <v/>
      </c>
      <c r="E124" s="42"/>
      <c r="F124" s="219"/>
      <c r="G124" s="220"/>
      <c r="H124" s="152"/>
    </row>
    <row r="125" spans="2:8" s="43" customFormat="1" x14ac:dyDescent="0.3">
      <c r="B125" s="44"/>
      <c r="C125" s="45"/>
      <c r="D125" s="126" t="str">
        <f t="shared" ref="D125:D131" si="10" xml:space="preserve"> IF(C125="","",setValueToTime(C125))</f>
        <v/>
      </c>
      <c r="E125" s="46"/>
      <c r="F125" s="211"/>
      <c r="G125" s="212"/>
      <c r="H125" s="152"/>
    </row>
    <row r="126" spans="2:8" s="43" customFormat="1" x14ac:dyDescent="0.3">
      <c r="B126" s="44"/>
      <c r="C126" s="45"/>
      <c r="D126" s="126" t="str">
        <f t="shared" si="10"/>
        <v/>
      </c>
      <c r="E126" s="46"/>
      <c r="F126" s="211"/>
      <c r="G126" s="212"/>
      <c r="H126" s="152"/>
    </row>
    <row r="127" spans="2:8" s="43" customFormat="1" x14ac:dyDescent="0.3">
      <c r="B127" s="44"/>
      <c r="C127" s="45"/>
      <c r="D127" s="126" t="str">
        <f t="shared" si="10"/>
        <v/>
      </c>
      <c r="E127" s="46"/>
      <c r="F127" s="211"/>
      <c r="G127" s="212"/>
      <c r="H127" s="152"/>
    </row>
    <row r="128" spans="2:8" s="43" customFormat="1" x14ac:dyDescent="0.3">
      <c r="B128" s="45"/>
      <c r="C128" s="45"/>
      <c r="D128" s="127" t="str">
        <f t="shared" si="10"/>
        <v/>
      </c>
      <c r="E128" s="46"/>
      <c r="F128" s="211"/>
      <c r="G128" s="212"/>
      <c r="H128" s="152"/>
    </row>
    <row r="129" spans="2:8" s="43" customFormat="1" x14ac:dyDescent="0.3">
      <c r="B129" s="45"/>
      <c r="C129" s="45"/>
      <c r="D129" s="127" t="str">
        <f t="shared" si="10"/>
        <v/>
      </c>
      <c r="E129" s="46"/>
      <c r="F129" s="211"/>
      <c r="G129" s="212"/>
      <c r="H129" s="152"/>
    </row>
    <row r="130" spans="2:8" s="43" customFormat="1" x14ac:dyDescent="0.3">
      <c r="B130" s="45"/>
      <c r="C130" s="45"/>
      <c r="D130" s="127" t="str">
        <f t="shared" si="10"/>
        <v/>
      </c>
      <c r="E130" s="46"/>
      <c r="F130" s="211"/>
      <c r="G130" s="212"/>
      <c r="H130" s="152"/>
    </row>
    <row r="131" spans="2:8" s="43" customFormat="1" ht="15" thickBot="1" x14ac:dyDescent="0.35">
      <c r="B131" s="47"/>
      <c r="C131" s="47"/>
      <c r="D131" s="128" t="str">
        <f t="shared" si="10"/>
        <v/>
      </c>
      <c r="E131" s="48"/>
      <c r="F131" s="213"/>
      <c r="G131" s="214"/>
      <c r="H131" s="152"/>
    </row>
    <row r="132" spans="2:8" s="43" customFormat="1" ht="15" thickBot="1" x14ac:dyDescent="0.35">
      <c r="B132" s="135" t="s">
        <v>40</v>
      </c>
      <c r="C132" s="66">
        <f>SUM(C124:C131)</f>
        <v>0</v>
      </c>
      <c r="D132" s="135" t="str">
        <f xml:space="preserve"> setValueToTime(C132)</f>
        <v/>
      </c>
      <c r="E132" s="96"/>
      <c r="F132" s="221"/>
      <c r="G132" s="222"/>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223" t="s">
        <v>38</v>
      </c>
      <c r="G135" s="224"/>
      <c r="H135" s="151"/>
    </row>
    <row r="136" spans="2:8" s="43" customFormat="1" x14ac:dyDescent="0.3">
      <c r="B136" s="40"/>
      <c r="C136" s="41"/>
      <c r="D136" s="125" t="str">
        <f xml:space="preserve"> IF(C136="","",setValueToTime(C136))</f>
        <v/>
      </c>
      <c r="E136" s="42"/>
      <c r="F136" s="219"/>
      <c r="G136" s="220"/>
      <c r="H136" s="152"/>
    </row>
    <row r="137" spans="2:8" s="43" customFormat="1" x14ac:dyDescent="0.3">
      <c r="B137" s="44"/>
      <c r="C137" s="45"/>
      <c r="D137" s="126" t="str">
        <f t="shared" ref="D137:D143" si="11" xml:space="preserve"> IF(C137="","",setValueToTime(C137))</f>
        <v/>
      </c>
      <c r="E137" s="46"/>
      <c r="F137" s="211"/>
      <c r="G137" s="212"/>
      <c r="H137" s="152"/>
    </row>
    <row r="138" spans="2:8" s="43" customFormat="1" x14ac:dyDescent="0.3">
      <c r="B138" s="44"/>
      <c r="C138" s="45"/>
      <c r="D138" s="126" t="str">
        <f t="shared" si="11"/>
        <v/>
      </c>
      <c r="E138" s="46"/>
      <c r="F138" s="211"/>
      <c r="G138" s="212"/>
      <c r="H138" s="152"/>
    </row>
    <row r="139" spans="2:8" s="43" customFormat="1" x14ac:dyDescent="0.3">
      <c r="B139" s="44"/>
      <c r="C139" s="45"/>
      <c r="D139" s="126" t="str">
        <f t="shared" si="11"/>
        <v/>
      </c>
      <c r="E139" s="46"/>
      <c r="F139" s="211"/>
      <c r="G139" s="212"/>
      <c r="H139" s="152"/>
    </row>
    <row r="140" spans="2:8" s="43" customFormat="1" x14ac:dyDescent="0.3">
      <c r="B140" s="45"/>
      <c r="C140" s="45"/>
      <c r="D140" s="127" t="str">
        <f t="shared" si="11"/>
        <v/>
      </c>
      <c r="E140" s="46"/>
      <c r="F140" s="211"/>
      <c r="G140" s="212"/>
      <c r="H140" s="152"/>
    </row>
    <row r="141" spans="2:8" s="43" customFormat="1" x14ac:dyDescent="0.3">
      <c r="B141" s="45"/>
      <c r="C141" s="45"/>
      <c r="D141" s="127" t="str">
        <f t="shared" si="11"/>
        <v/>
      </c>
      <c r="E141" s="46"/>
      <c r="F141" s="211"/>
      <c r="G141" s="212"/>
      <c r="H141" s="152"/>
    </row>
    <row r="142" spans="2:8" s="43" customFormat="1" x14ac:dyDescent="0.3">
      <c r="B142" s="45"/>
      <c r="C142" s="45"/>
      <c r="D142" s="127" t="str">
        <f t="shared" si="11"/>
        <v/>
      </c>
      <c r="E142" s="46"/>
      <c r="F142" s="211"/>
      <c r="G142" s="212"/>
      <c r="H142" s="152"/>
    </row>
    <row r="143" spans="2:8" s="43" customFormat="1" ht="15" thickBot="1" x14ac:dyDescent="0.35">
      <c r="B143" s="47"/>
      <c r="C143" s="47"/>
      <c r="D143" s="128" t="str">
        <f t="shared" si="11"/>
        <v/>
      </c>
      <c r="E143" s="48"/>
      <c r="F143" s="213"/>
      <c r="G143" s="214"/>
      <c r="H143" s="152"/>
    </row>
    <row r="144" spans="2:8" s="43" customFormat="1" ht="15" thickBot="1" x14ac:dyDescent="0.35">
      <c r="B144" s="135" t="s">
        <v>40</v>
      </c>
      <c r="C144" s="66">
        <f>SUM(C136:C143)</f>
        <v>0</v>
      </c>
      <c r="D144" s="135" t="str">
        <f xml:space="preserve"> setValueToTime(C144)</f>
        <v/>
      </c>
      <c r="E144" s="96"/>
      <c r="F144" s="221"/>
      <c r="G144" s="222"/>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223" t="s">
        <v>38</v>
      </c>
      <c r="G147" s="224"/>
      <c r="H147" s="151"/>
    </row>
    <row r="148" spans="2:8" s="43" customFormat="1" ht="54" x14ac:dyDescent="0.3">
      <c r="B148" s="40" t="s">
        <v>53</v>
      </c>
      <c r="C148" s="41">
        <v>4</v>
      </c>
      <c r="D148" s="125" t="str">
        <f xml:space="preserve"> IF(C148="","",setValueToTime(C148))</f>
        <v xml:space="preserve"> 20 min</v>
      </c>
      <c r="E148" s="42" t="s">
        <v>156</v>
      </c>
      <c r="F148" s="219"/>
      <c r="G148" s="220"/>
      <c r="H148" s="152"/>
    </row>
    <row r="149" spans="2:8" s="43" customFormat="1" ht="27" x14ac:dyDescent="0.3">
      <c r="B149" s="44" t="s">
        <v>30</v>
      </c>
      <c r="C149" s="45">
        <v>8</v>
      </c>
      <c r="D149" s="126" t="str">
        <f t="shared" ref="D149:D155" si="12" xml:space="preserve"> IF(C149="","",setValueToTime(C149))</f>
        <v xml:space="preserve"> 40 min</v>
      </c>
      <c r="E149" s="46" t="s">
        <v>158</v>
      </c>
      <c r="F149" s="211"/>
      <c r="G149" s="212"/>
      <c r="H149" s="152"/>
    </row>
    <row r="150" spans="2:8" s="43" customFormat="1" x14ac:dyDescent="0.3">
      <c r="B150" s="44" t="s">
        <v>74</v>
      </c>
      <c r="C150" s="45">
        <v>6</v>
      </c>
      <c r="D150" s="126" t="str">
        <f t="shared" si="12"/>
        <v xml:space="preserve"> 30 min</v>
      </c>
      <c r="E150" s="46" t="s">
        <v>157</v>
      </c>
      <c r="F150" s="211"/>
      <c r="G150" s="212"/>
      <c r="H150" s="152"/>
    </row>
    <row r="151" spans="2:8" s="43" customFormat="1" x14ac:dyDescent="0.3">
      <c r="B151" s="44"/>
      <c r="C151" s="45"/>
      <c r="D151" s="126" t="str">
        <f t="shared" si="12"/>
        <v/>
      </c>
      <c r="E151" s="46"/>
      <c r="F151" s="211"/>
      <c r="G151" s="212"/>
      <c r="H151" s="152"/>
    </row>
    <row r="152" spans="2:8" s="43" customFormat="1" x14ac:dyDescent="0.3">
      <c r="B152" s="45"/>
      <c r="C152" s="45"/>
      <c r="D152" s="127" t="str">
        <f t="shared" si="12"/>
        <v/>
      </c>
      <c r="E152" s="46"/>
      <c r="F152" s="211"/>
      <c r="G152" s="212"/>
      <c r="H152" s="152"/>
    </row>
    <row r="153" spans="2:8" s="43" customFormat="1" x14ac:dyDescent="0.3">
      <c r="B153" s="45"/>
      <c r="C153" s="45"/>
      <c r="D153" s="127" t="str">
        <f t="shared" si="12"/>
        <v/>
      </c>
      <c r="E153" s="46"/>
      <c r="F153" s="211"/>
      <c r="G153" s="212"/>
      <c r="H153" s="152"/>
    </row>
    <row r="154" spans="2:8" s="43" customFormat="1" x14ac:dyDescent="0.3">
      <c r="B154" s="45"/>
      <c r="C154" s="45"/>
      <c r="D154" s="127" t="str">
        <f t="shared" si="12"/>
        <v/>
      </c>
      <c r="E154" s="46"/>
      <c r="F154" s="211"/>
      <c r="G154" s="212"/>
      <c r="H154" s="152"/>
    </row>
    <row r="155" spans="2:8" s="43" customFormat="1" ht="15" thickBot="1" x14ac:dyDescent="0.35">
      <c r="B155" s="47"/>
      <c r="C155" s="47"/>
      <c r="D155" s="128" t="str">
        <f t="shared" si="12"/>
        <v/>
      </c>
      <c r="E155" s="48"/>
      <c r="F155" s="213"/>
      <c r="G155" s="214"/>
      <c r="H155" s="152"/>
    </row>
    <row r="156" spans="2:8" s="43" customFormat="1" ht="15" thickBot="1" x14ac:dyDescent="0.35">
      <c r="B156" s="135" t="s">
        <v>40</v>
      </c>
      <c r="C156" s="66">
        <f>SUM(C148:C155)</f>
        <v>18</v>
      </c>
      <c r="D156" s="135" t="str">
        <f xml:space="preserve"> setValueToTime(C156)</f>
        <v>1h 30 min</v>
      </c>
      <c r="E156" s="96"/>
      <c r="F156" s="221"/>
      <c r="G156" s="222"/>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223" t="s">
        <v>38</v>
      </c>
      <c r="G159" s="224"/>
      <c r="H159" s="151"/>
    </row>
    <row r="160" spans="2:8" s="43" customFormat="1" ht="54" x14ac:dyDescent="0.3">
      <c r="B160" s="40" t="s">
        <v>48</v>
      </c>
      <c r="C160" s="41">
        <v>6</v>
      </c>
      <c r="D160" s="125" t="str">
        <f xml:space="preserve"> IF(C160="","",setValueToTime(C160))</f>
        <v xml:space="preserve"> 30 min</v>
      </c>
      <c r="E160" s="42" t="s">
        <v>151</v>
      </c>
      <c r="F160" s="225" t="s">
        <v>159</v>
      </c>
      <c r="G160" s="220"/>
      <c r="H160" s="152"/>
    </row>
    <row r="161" spans="2:8" s="43" customFormat="1" ht="94.5" x14ac:dyDescent="0.3">
      <c r="B161" s="44" t="s">
        <v>53</v>
      </c>
      <c r="C161" s="45">
        <v>5</v>
      </c>
      <c r="D161" s="126" t="str">
        <f t="shared" ref="D161:D167" si="13" xml:space="preserve"> IF(C161="","",setValueToTime(C161))</f>
        <v xml:space="preserve"> 25 min</v>
      </c>
      <c r="E161" s="46" t="s">
        <v>152</v>
      </c>
      <c r="F161" s="211"/>
      <c r="G161" s="212"/>
      <c r="H161" s="152"/>
    </row>
    <row r="162" spans="2:8" s="43" customFormat="1" ht="40.5" x14ac:dyDescent="0.3">
      <c r="B162" s="44" t="s">
        <v>46</v>
      </c>
      <c r="C162" s="45">
        <v>15</v>
      </c>
      <c r="D162" s="126" t="str">
        <f t="shared" si="13"/>
        <v>1h 15 min</v>
      </c>
      <c r="E162" s="46" t="s">
        <v>155</v>
      </c>
      <c r="F162" s="211"/>
      <c r="G162" s="212"/>
      <c r="H162" s="152"/>
    </row>
    <row r="163" spans="2:8" s="43" customFormat="1" ht="27" x14ac:dyDescent="0.3">
      <c r="B163" s="44" t="s">
        <v>29</v>
      </c>
      <c r="C163" s="45">
        <v>3</v>
      </c>
      <c r="D163" s="126" t="str">
        <f t="shared" si="13"/>
        <v xml:space="preserve"> 15 min</v>
      </c>
      <c r="E163" s="46"/>
      <c r="F163" s="211"/>
      <c r="G163" s="212"/>
      <c r="H163" s="152"/>
    </row>
    <row r="164" spans="2:8" s="43" customFormat="1" x14ac:dyDescent="0.3">
      <c r="B164" s="45"/>
      <c r="C164" s="45"/>
      <c r="D164" s="127" t="str">
        <f t="shared" si="13"/>
        <v/>
      </c>
      <c r="E164" s="46"/>
      <c r="F164" s="211"/>
      <c r="G164" s="212"/>
      <c r="H164" s="152"/>
    </row>
    <row r="165" spans="2:8" s="43" customFormat="1" x14ac:dyDescent="0.3">
      <c r="B165" s="45"/>
      <c r="C165" s="45"/>
      <c r="D165" s="127" t="str">
        <f t="shared" si="13"/>
        <v/>
      </c>
      <c r="E165" s="46"/>
      <c r="F165" s="211"/>
      <c r="G165" s="212"/>
      <c r="H165" s="152"/>
    </row>
    <row r="166" spans="2:8" s="43" customFormat="1" x14ac:dyDescent="0.3">
      <c r="B166" s="45"/>
      <c r="C166" s="45"/>
      <c r="D166" s="127" t="str">
        <f t="shared" si="13"/>
        <v/>
      </c>
      <c r="E166" s="46"/>
      <c r="F166" s="211"/>
      <c r="G166" s="212"/>
      <c r="H166" s="152"/>
    </row>
    <row r="167" spans="2:8" s="43" customFormat="1" ht="15" thickBot="1" x14ac:dyDescent="0.35">
      <c r="B167" s="47"/>
      <c r="C167" s="47"/>
      <c r="D167" s="128" t="str">
        <f t="shared" si="13"/>
        <v/>
      </c>
      <c r="E167" s="48"/>
      <c r="F167" s="213"/>
      <c r="G167" s="214"/>
      <c r="H167" s="152"/>
    </row>
    <row r="168" spans="2:8" s="43" customFormat="1" ht="15" thickBot="1" x14ac:dyDescent="0.35">
      <c r="B168" s="135" t="s">
        <v>40</v>
      </c>
      <c r="C168" s="66">
        <f>SUM(C160:C167)</f>
        <v>29</v>
      </c>
      <c r="D168" s="135" t="str">
        <f xml:space="preserve"> setValueToTime(C168)</f>
        <v>2h 25 min</v>
      </c>
      <c r="E168" s="96"/>
      <c r="F168" s="221"/>
      <c r="G168" s="222"/>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223" t="s">
        <v>38</v>
      </c>
      <c r="G171" s="224"/>
      <c r="H171" s="151"/>
    </row>
    <row r="172" spans="2:8" s="43" customFormat="1" ht="27" x14ac:dyDescent="0.3">
      <c r="B172" s="40" t="s">
        <v>52</v>
      </c>
      <c r="C172" s="41">
        <v>7</v>
      </c>
      <c r="D172" s="125" t="str">
        <f xml:space="preserve"> IF(C172="","",setValueToTime(C172))</f>
        <v xml:space="preserve"> 35 min</v>
      </c>
      <c r="E172" s="42" t="s">
        <v>148</v>
      </c>
      <c r="F172" s="219"/>
      <c r="G172" s="220"/>
      <c r="H172" s="152"/>
    </row>
    <row r="173" spans="2:8" s="43" customFormat="1" ht="27" x14ac:dyDescent="0.3">
      <c r="B173" s="44" t="s">
        <v>49</v>
      </c>
      <c r="C173" s="45">
        <v>23</v>
      </c>
      <c r="D173" s="126" t="str">
        <f t="shared" ref="D173:D179" si="14" xml:space="preserve"> IF(C173="","",setValueToTime(C173))</f>
        <v>1h 55 min</v>
      </c>
      <c r="E173" s="46" t="s">
        <v>149</v>
      </c>
      <c r="F173" s="211"/>
      <c r="G173" s="212"/>
      <c r="H173" s="152"/>
    </row>
    <row r="174" spans="2:8" s="43" customFormat="1" ht="27" x14ac:dyDescent="0.3">
      <c r="B174" s="44" t="s">
        <v>54</v>
      </c>
      <c r="C174" s="45">
        <v>8</v>
      </c>
      <c r="D174" s="126" t="str">
        <f t="shared" si="14"/>
        <v xml:space="preserve"> 40 min</v>
      </c>
      <c r="E174" s="46" t="s">
        <v>150</v>
      </c>
      <c r="F174" s="211"/>
      <c r="G174" s="212"/>
      <c r="H174" s="152"/>
    </row>
    <row r="175" spans="2:8" s="43" customFormat="1" x14ac:dyDescent="0.3">
      <c r="B175" s="44"/>
      <c r="C175" s="45"/>
      <c r="D175" s="126" t="str">
        <f t="shared" si="14"/>
        <v/>
      </c>
      <c r="E175" s="46"/>
      <c r="F175" s="211"/>
      <c r="G175" s="212"/>
      <c r="H175" s="152"/>
    </row>
    <row r="176" spans="2:8" s="43" customFormat="1" x14ac:dyDescent="0.3">
      <c r="B176" s="45"/>
      <c r="C176" s="45"/>
      <c r="D176" s="127" t="str">
        <f t="shared" si="14"/>
        <v/>
      </c>
      <c r="E176" s="46"/>
      <c r="F176" s="211"/>
      <c r="G176" s="212"/>
      <c r="H176" s="152"/>
    </row>
    <row r="177" spans="2:8" s="43" customFormat="1" x14ac:dyDescent="0.3">
      <c r="B177" s="45"/>
      <c r="C177" s="45"/>
      <c r="D177" s="127" t="str">
        <f t="shared" si="14"/>
        <v/>
      </c>
      <c r="E177" s="46"/>
      <c r="F177" s="211"/>
      <c r="G177" s="212"/>
      <c r="H177" s="152"/>
    </row>
    <row r="178" spans="2:8" s="43" customFormat="1" x14ac:dyDescent="0.3">
      <c r="B178" s="45"/>
      <c r="C178" s="45"/>
      <c r="D178" s="127" t="str">
        <f t="shared" si="14"/>
        <v/>
      </c>
      <c r="E178" s="46"/>
      <c r="F178" s="211"/>
      <c r="G178" s="212"/>
      <c r="H178" s="152"/>
    </row>
    <row r="179" spans="2:8" s="43" customFormat="1" ht="15" thickBot="1" x14ac:dyDescent="0.35">
      <c r="B179" s="47"/>
      <c r="C179" s="47"/>
      <c r="D179" s="128" t="str">
        <f t="shared" si="14"/>
        <v/>
      </c>
      <c r="E179" s="48"/>
      <c r="F179" s="213"/>
      <c r="G179" s="214"/>
      <c r="H179" s="152"/>
    </row>
    <row r="180" spans="2:8" s="43" customFormat="1" ht="15" thickBot="1" x14ac:dyDescent="0.35">
      <c r="B180" s="135" t="s">
        <v>40</v>
      </c>
      <c r="C180" s="66">
        <f>SUM(C172:C179)</f>
        <v>38</v>
      </c>
      <c r="D180" s="135" t="str">
        <f xml:space="preserve"> setValueToTime(C180)</f>
        <v>3h 10 min</v>
      </c>
      <c r="E180" s="96"/>
      <c r="F180" s="221"/>
      <c r="G180" s="222"/>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223" t="s">
        <v>38</v>
      </c>
      <c r="G183" s="224"/>
      <c r="H183" s="151"/>
    </row>
    <row r="184" spans="2:8" s="43" customFormat="1" ht="27" x14ac:dyDescent="0.3">
      <c r="B184" s="40" t="s">
        <v>44</v>
      </c>
      <c r="C184" s="41">
        <v>15</v>
      </c>
      <c r="D184" s="125" t="str">
        <f xml:space="preserve"> IF(C184="","",setValueToTime(C184))</f>
        <v>1h 15 min</v>
      </c>
      <c r="E184" s="42" t="s">
        <v>145</v>
      </c>
      <c r="F184" s="219"/>
      <c r="G184" s="220"/>
      <c r="H184" s="152"/>
    </row>
    <row r="185" spans="2:8" s="43" customFormat="1" ht="27" x14ac:dyDescent="0.3">
      <c r="B185" s="44" t="s">
        <v>45</v>
      </c>
      <c r="C185" s="45">
        <v>15</v>
      </c>
      <c r="D185" s="126" t="str">
        <f t="shared" ref="D185:D191" si="15" xml:space="preserve"> IF(C185="","",setValueToTime(C185))</f>
        <v>1h 15 min</v>
      </c>
      <c r="E185" s="46" t="s">
        <v>146</v>
      </c>
      <c r="F185" s="211"/>
      <c r="G185" s="212"/>
      <c r="H185" s="152"/>
    </row>
    <row r="186" spans="2:8" s="43" customFormat="1" ht="27" x14ac:dyDescent="0.3">
      <c r="B186" s="44" t="s">
        <v>52</v>
      </c>
      <c r="C186" s="45">
        <v>5</v>
      </c>
      <c r="D186" s="126" t="str">
        <f xml:space="preserve"> IF(C186="","",setValueToTime(C186))</f>
        <v xml:space="preserve"> 25 min</v>
      </c>
      <c r="E186" s="46" t="s">
        <v>147</v>
      </c>
      <c r="F186" s="211"/>
      <c r="G186" s="212"/>
      <c r="H186" s="152"/>
    </row>
    <row r="187" spans="2:8" s="43" customFormat="1" ht="27" x14ac:dyDescent="0.3">
      <c r="B187" s="44" t="s">
        <v>29</v>
      </c>
      <c r="C187" s="45">
        <v>3</v>
      </c>
      <c r="D187" s="126" t="str">
        <f t="shared" si="15"/>
        <v xml:space="preserve"> 15 min</v>
      </c>
      <c r="E187" s="46"/>
      <c r="F187" s="211"/>
      <c r="G187" s="212"/>
      <c r="H187" s="152"/>
    </row>
    <row r="188" spans="2:8" s="43" customFormat="1" x14ac:dyDescent="0.3">
      <c r="B188" s="45"/>
      <c r="C188" s="45"/>
      <c r="D188" s="127" t="str">
        <f t="shared" si="15"/>
        <v/>
      </c>
      <c r="E188" s="46"/>
      <c r="F188" s="211"/>
      <c r="G188" s="212"/>
      <c r="H188" s="152"/>
    </row>
    <row r="189" spans="2:8" s="43" customFormat="1" x14ac:dyDescent="0.3">
      <c r="B189" s="45"/>
      <c r="C189" s="45"/>
      <c r="D189" s="127" t="str">
        <f t="shared" si="15"/>
        <v/>
      </c>
      <c r="E189" s="46"/>
      <c r="F189" s="211"/>
      <c r="G189" s="212"/>
      <c r="H189" s="152"/>
    </row>
    <row r="190" spans="2:8" s="43" customFormat="1" x14ac:dyDescent="0.3">
      <c r="B190" s="45"/>
      <c r="C190" s="45"/>
      <c r="D190" s="127" t="str">
        <f t="shared" si="15"/>
        <v/>
      </c>
      <c r="E190" s="46"/>
      <c r="F190" s="211"/>
      <c r="G190" s="212"/>
      <c r="H190" s="152"/>
    </row>
    <row r="191" spans="2:8" s="43" customFormat="1" ht="15" thickBot="1" x14ac:dyDescent="0.35">
      <c r="B191" s="47"/>
      <c r="C191" s="47"/>
      <c r="D191" s="128" t="str">
        <f t="shared" si="15"/>
        <v/>
      </c>
      <c r="E191" s="48"/>
      <c r="F191" s="213"/>
      <c r="G191" s="214"/>
      <c r="H191" s="152"/>
    </row>
    <row r="192" spans="2:8" s="43" customFormat="1" ht="15" thickBot="1" x14ac:dyDescent="0.35">
      <c r="B192" s="135" t="s">
        <v>40</v>
      </c>
      <c r="C192" s="66">
        <f>SUM(C184:C191)</f>
        <v>38</v>
      </c>
      <c r="D192" s="135" t="str">
        <f xml:space="preserve"> setValueToTime(C192)</f>
        <v>3h 10 min</v>
      </c>
      <c r="E192" s="96"/>
      <c r="F192" s="221"/>
      <c r="G192" s="222"/>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223" t="s">
        <v>38</v>
      </c>
      <c r="G195" s="224"/>
      <c r="H195" s="151"/>
    </row>
    <row r="196" spans="2:8" s="43" customFormat="1" ht="40.5" x14ac:dyDescent="0.3">
      <c r="B196" s="40" t="s">
        <v>51</v>
      </c>
      <c r="C196" s="41">
        <v>18</v>
      </c>
      <c r="D196" s="125" t="str">
        <f xml:space="preserve"> IF(C196="","",setValueToTime(C196))</f>
        <v>1h 30 min</v>
      </c>
      <c r="E196" s="42" t="s">
        <v>142</v>
      </c>
      <c r="F196" s="219"/>
      <c r="G196" s="220"/>
      <c r="H196" s="152"/>
    </row>
    <row r="197" spans="2:8" s="43" customFormat="1" ht="40.5" x14ac:dyDescent="0.3">
      <c r="B197" s="44" t="s">
        <v>47</v>
      </c>
      <c r="C197" s="45">
        <v>30</v>
      </c>
      <c r="D197" s="126" t="str">
        <f t="shared" ref="D197:D203" si="16" xml:space="preserve"> IF(C197="","",setValueToTime(C197))</f>
        <v>2h 30 min</v>
      </c>
      <c r="E197" s="46" t="s">
        <v>144</v>
      </c>
      <c r="F197" s="211"/>
      <c r="G197" s="212"/>
      <c r="H197" s="152"/>
    </row>
    <row r="198" spans="2:8" s="43" customFormat="1" x14ac:dyDescent="0.3">
      <c r="B198" s="44"/>
      <c r="C198" s="45"/>
      <c r="D198" s="126" t="str">
        <f t="shared" si="16"/>
        <v/>
      </c>
      <c r="E198" s="46"/>
      <c r="F198" s="211"/>
      <c r="G198" s="212"/>
      <c r="H198" s="152"/>
    </row>
    <row r="199" spans="2:8" s="43" customFormat="1" x14ac:dyDescent="0.3">
      <c r="B199" s="44"/>
      <c r="C199" s="45"/>
      <c r="D199" s="126" t="str">
        <f t="shared" si="16"/>
        <v/>
      </c>
      <c r="E199" s="46"/>
      <c r="F199" s="211"/>
      <c r="G199" s="212"/>
      <c r="H199" s="152"/>
    </row>
    <row r="200" spans="2:8" s="43" customFormat="1" x14ac:dyDescent="0.3">
      <c r="B200" s="45"/>
      <c r="C200" s="45"/>
      <c r="D200" s="127" t="str">
        <f t="shared" si="16"/>
        <v/>
      </c>
      <c r="E200" s="46"/>
      <c r="F200" s="211"/>
      <c r="G200" s="212"/>
      <c r="H200" s="152"/>
    </row>
    <row r="201" spans="2:8" s="43" customFormat="1" x14ac:dyDescent="0.3">
      <c r="B201" s="45"/>
      <c r="C201" s="45"/>
      <c r="D201" s="127" t="str">
        <f t="shared" si="16"/>
        <v/>
      </c>
      <c r="E201" s="46"/>
      <c r="F201" s="211"/>
      <c r="G201" s="212"/>
      <c r="H201" s="152"/>
    </row>
    <row r="202" spans="2:8" s="43" customFormat="1" x14ac:dyDescent="0.3">
      <c r="B202" s="45"/>
      <c r="C202" s="45"/>
      <c r="D202" s="127" t="str">
        <f t="shared" si="16"/>
        <v/>
      </c>
      <c r="E202" s="46"/>
      <c r="F202" s="211"/>
      <c r="G202" s="212"/>
      <c r="H202" s="152"/>
    </row>
    <row r="203" spans="2:8" s="43" customFormat="1" ht="15" thickBot="1" x14ac:dyDescent="0.35">
      <c r="B203" s="47"/>
      <c r="C203" s="47"/>
      <c r="D203" s="128" t="str">
        <f t="shared" si="16"/>
        <v/>
      </c>
      <c r="E203" s="48"/>
      <c r="F203" s="213"/>
      <c r="G203" s="214"/>
      <c r="H203" s="152"/>
    </row>
    <row r="204" spans="2:8" s="43" customFormat="1" ht="15" thickBot="1" x14ac:dyDescent="0.35">
      <c r="B204" s="135" t="s">
        <v>40</v>
      </c>
      <c r="C204" s="66">
        <f>SUM(C196:C203)</f>
        <v>48</v>
      </c>
      <c r="D204" s="135" t="str">
        <f xml:space="preserve"> setValueToTime(C204)</f>
        <v>4h</v>
      </c>
      <c r="E204" s="96"/>
      <c r="F204" s="221"/>
      <c r="G204" s="222"/>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223" t="s">
        <v>38</v>
      </c>
      <c r="G207" s="224"/>
      <c r="H207" s="151"/>
    </row>
    <row r="208" spans="2:8" s="43" customFormat="1" ht="27" x14ac:dyDescent="0.3">
      <c r="B208" s="40" t="s">
        <v>30</v>
      </c>
      <c r="C208" s="41">
        <v>8</v>
      </c>
      <c r="D208" s="125" t="str">
        <f xml:space="preserve"> IF(C208="","",setValueToTime(C208))</f>
        <v xml:space="preserve"> 40 min</v>
      </c>
      <c r="E208" s="42" t="s">
        <v>141</v>
      </c>
      <c r="F208" s="219"/>
      <c r="G208" s="220"/>
      <c r="H208" s="152"/>
    </row>
    <row r="209" spans="2:8" s="43" customFormat="1" ht="40.5" x14ac:dyDescent="0.3">
      <c r="B209" s="44" t="s">
        <v>50</v>
      </c>
      <c r="C209" s="45">
        <v>19</v>
      </c>
      <c r="D209" s="126" t="str">
        <f t="shared" ref="D209:D215" si="17" xml:space="preserve"> IF(C209="","",setValueToTime(C209))</f>
        <v>1h 35 min</v>
      </c>
      <c r="E209" s="46" t="s">
        <v>143</v>
      </c>
      <c r="F209" s="211"/>
      <c r="G209" s="212"/>
      <c r="H209" s="152"/>
    </row>
    <row r="210" spans="2:8" s="43" customFormat="1" ht="27" x14ac:dyDescent="0.3">
      <c r="B210" s="44" t="s">
        <v>29</v>
      </c>
      <c r="C210" s="45">
        <v>2</v>
      </c>
      <c r="D210" s="126" t="str">
        <f t="shared" si="17"/>
        <v xml:space="preserve"> 10 min</v>
      </c>
      <c r="E210" s="46"/>
      <c r="F210" s="211"/>
      <c r="G210" s="212"/>
      <c r="H210" s="152"/>
    </row>
    <row r="211" spans="2:8" s="43" customFormat="1" x14ac:dyDescent="0.3">
      <c r="B211" s="44"/>
      <c r="C211" s="45"/>
      <c r="D211" s="126" t="str">
        <f t="shared" si="17"/>
        <v/>
      </c>
      <c r="E211" s="46"/>
      <c r="F211" s="211"/>
      <c r="G211" s="212"/>
      <c r="H211" s="152"/>
    </row>
    <row r="212" spans="2:8" s="43" customFormat="1" x14ac:dyDescent="0.3">
      <c r="B212" s="45"/>
      <c r="C212" s="45"/>
      <c r="D212" s="127" t="str">
        <f t="shared" si="17"/>
        <v/>
      </c>
      <c r="E212" s="46"/>
      <c r="F212" s="211"/>
      <c r="G212" s="212"/>
      <c r="H212" s="152"/>
    </row>
    <row r="213" spans="2:8" s="43" customFormat="1" x14ac:dyDescent="0.3">
      <c r="B213" s="45"/>
      <c r="C213" s="45"/>
      <c r="D213" s="127" t="str">
        <f t="shared" si="17"/>
        <v/>
      </c>
      <c r="E213" s="46"/>
      <c r="F213" s="211"/>
      <c r="G213" s="212"/>
      <c r="H213" s="152"/>
    </row>
    <row r="214" spans="2:8" s="43" customFormat="1" x14ac:dyDescent="0.3">
      <c r="B214" s="45"/>
      <c r="C214" s="45"/>
      <c r="D214" s="127" t="str">
        <f t="shared" si="17"/>
        <v/>
      </c>
      <c r="E214" s="46"/>
      <c r="F214" s="211"/>
      <c r="G214" s="212"/>
      <c r="H214" s="152"/>
    </row>
    <row r="215" spans="2:8" s="43" customFormat="1" ht="15" thickBot="1" x14ac:dyDescent="0.35">
      <c r="B215" s="47"/>
      <c r="C215" s="47"/>
      <c r="D215" s="128" t="str">
        <f t="shared" si="17"/>
        <v/>
      </c>
      <c r="E215" s="48"/>
      <c r="F215" s="213"/>
      <c r="G215" s="214"/>
      <c r="H215" s="152"/>
    </row>
    <row r="216" spans="2:8" s="43" customFormat="1" ht="15" thickBot="1" x14ac:dyDescent="0.35">
      <c r="B216" s="135" t="s">
        <v>40</v>
      </c>
      <c r="C216" s="66">
        <f>SUM(C208:C215)</f>
        <v>29</v>
      </c>
      <c r="D216" s="135" t="str">
        <f xml:space="preserve"> setValueToTime(C216)</f>
        <v>2h 25 min</v>
      </c>
      <c r="E216" s="96"/>
      <c r="F216" s="221"/>
      <c r="G216" s="222"/>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223" t="s">
        <v>38</v>
      </c>
      <c r="G219" s="224"/>
      <c r="H219" s="151"/>
    </row>
    <row r="220" spans="2:8" s="43" customFormat="1" ht="40.5" x14ac:dyDescent="0.3">
      <c r="B220" s="40" t="s">
        <v>73</v>
      </c>
      <c r="C220" s="41">
        <v>6</v>
      </c>
      <c r="D220" s="125" t="str">
        <f xml:space="preserve"> IF(C220="","",setValueToTime(C220))</f>
        <v xml:space="preserve"> 30 min</v>
      </c>
      <c r="E220" s="42" t="s">
        <v>139</v>
      </c>
      <c r="F220" s="219"/>
      <c r="G220" s="220"/>
      <c r="H220" s="152"/>
    </row>
    <row r="221" spans="2:8" s="43" customFormat="1" ht="27" x14ac:dyDescent="0.3">
      <c r="B221" s="44" t="s">
        <v>30</v>
      </c>
      <c r="C221" s="45">
        <v>30</v>
      </c>
      <c r="D221" s="126" t="str">
        <f t="shared" ref="D221:D227" si="18" xml:space="preserve"> IF(C221="","",setValueToTime(C221))</f>
        <v>2h 30 min</v>
      </c>
      <c r="E221" s="46" t="s">
        <v>140</v>
      </c>
      <c r="F221" s="211"/>
      <c r="G221" s="212"/>
      <c r="H221" s="152"/>
    </row>
    <row r="222" spans="2:8" s="43" customFormat="1" ht="27" x14ac:dyDescent="0.3">
      <c r="B222" s="44" t="s">
        <v>29</v>
      </c>
      <c r="C222" s="45">
        <v>2</v>
      </c>
      <c r="D222" s="126" t="str">
        <f t="shared" si="18"/>
        <v xml:space="preserve"> 10 min</v>
      </c>
      <c r="E222" s="46"/>
      <c r="F222" s="211"/>
      <c r="G222" s="212"/>
      <c r="H222" s="152"/>
    </row>
    <row r="223" spans="2:8" s="43" customFormat="1" x14ac:dyDescent="0.3">
      <c r="B223" s="44"/>
      <c r="C223" s="45"/>
      <c r="D223" s="126" t="str">
        <f t="shared" si="18"/>
        <v/>
      </c>
      <c r="E223" s="46"/>
      <c r="F223" s="211"/>
      <c r="G223" s="212"/>
      <c r="H223" s="152"/>
    </row>
    <row r="224" spans="2:8" s="43" customFormat="1" x14ac:dyDescent="0.3">
      <c r="B224" s="45"/>
      <c r="C224" s="45"/>
      <c r="D224" s="127" t="str">
        <f t="shared" si="18"/>
        <v/>
      </c>
      <c r="E224" s="46"/>
      <c r="F224" s="211"/>
      <c r="G224" s="212"/>
      <c r="H224" s="152"/>
    </row>
    <row r="225" spans="2:8" s="43" customFormat="1" x14ac:dyDescent="0.3">
      <c r="B225" s="45"/>
      <c r="C225" s="45"/>
      <c r="D225" s="127" t="str">
        <f t="shared" si="18"/>
        <v/>
      </c>
      <c r="E225" s="46"/>
      <c r="F225" s="211"/>
      <c r="G225" s="212"/>
      <c r="H225" s="152"/>
    </row>
    <row r="226" spans="2:8" s="43" customFormat="1" x14ac:dyDescent="0.3">
      <c r="B226" s="45"/>
      <c r="C226" s="45"/>
      <c r="D226" s="127" t="str">
        <f t="shared" si="18"/>
        <v/>
      </c>
      <c r="E226" s="46"/>
      <c r="F226" s="211"/>
      <c r="G226" s="212"/>
      <c r="H226" s="152"/>
    </row>
    <row r="227" spans="2:8" s="43" customFormat="1" ht="15" thickBot="1" x14ac:dyDescent="0.35">
      <c r="B227" s="47"/>
      <c r="C227" s="47"/>
      <c r="D227" s="128" t="str">
        <f t="shared" si="18"/>
        <v/>
      </c>
      <c r="E227" s="48"/>
      <c r="F227" s="213"/>
      <c r="G227" s="214"/>
      <c r="H227" s="152"/>
    </row>
    <row r="228" spans="2:8" s="43" customFormat="1" ht="15" thickBot="1" x14ac:dyDescent="0.35">
      <c r="B228" s="135" t="s">
        <v>40</v>
      </c>
      <c r="C228" s="66">
        <f>SUM(C220:C227)</f>
        <v>38</v>
      </c>
      <c r="D228" s="135" t="str">
        <f xml:space="preserve"> setValueToTime(C228)</f>
        <v>3h 10 min</v>
      </c>
      <c r="E228" s="96"/>
      <c r="F228" s="221"/>
      <c r="G228" s="222"/>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223" t="s">
        <v>38</v>
      </c>
      <c r="G231" s="224"/>
      <c r="H231" s="151"/>
    </row>
    <row r="232" spans="2:8" s="43" customFormat="1" ht="40.5" x14ac:dyDescent="0.3">
      <c r="B232" s="40" t="s">
        <v>73</v>
      </c>
      <c r="C232" s="41">
        <v>36</v>
      </c>
      <c r="D232" s="125" t="str">
        <f xml:space="preserve"> IF(C232="","",setValueToTime(C232))</f>
        <v>3h</v>
      </c>
      <c r="E232" s="42" t="s">
        <v>138</v>
      </c>
      <c r="F232" s="219"/>
      <c r="G232" s="220"/>
      <c r="H232" s="152"/>
    </row>
    <row r="233" spans="2:8" s="43" customFormat="1" ht="27" x14ac:dyDescent="0.3">
      <c r="B233" s="44" t="s">
        <v>29</v>
      </c>
      <c r="C233" s="45">
        <v>2</v>
      </c>
      <c r="D233" s="126" t="str">
        <f t="shared" ref="D233:D239" si="19" xml:space="preserve"> IF(C233="","",setValueToTime(C233))</f>
        <v xml:space="preserve"> 10 min</v>
      </c>
      <c r="E233" s="46"/>
      <c r="F233" s="211"/>
      <c r="G233" s="212"/>
      <c r="H233" s="152"/>
    </row>
    <row r="234" spans="2:8" s="43" customFormat="1" x14ac:dyDescent="0.3">
      <c r="B234" s="44"/>
      <c r="C234" s="45"/>
      <c r="D234" s="126" t="str">
        <f t="shared" si="19"/>
        <v/>
      </c>
      <c r="E234" s="46"/>
      <c r="F234" s="211"/>
      <c r="G234" s="212"/>
      <c r="H234" s="152"/>
    </row>
    <row r="235" spans="2:8" s="43" customFormat="1" x14ac:dyDescent="0.3">
      <c r="B235" s="44"/>
      <c r="C235" s="45"/>
      <c r="D235" s="126" t="str">
        <f t="shared" si="19"/>
        <v/>
      </c>
      <c r="E235" s="46"/>
      <c r="F235" s="211"/>
      <c r="G235" s="212"/>
      <c r="H235" s="152"/>
    </row>
    <row r="236" spans="2:8" s="43" customFormat="1" x14ac:dyDescent="0.3">
      <c r="B236" s="45"/>
      <c r="C236" s="45"/>
      <c r="D236" s="127" t="str">
        <f t="shared" si="19"/>
        <v/>
      </c>
      <c r="E236" s="46"/>
      <c r="F236" s="211"/>
      <c r="G236" s="212"/>
      <c r="H236" s="152"/>
    </row>
    <row r="237" spans="2:8" s="43" customFormat="1" x14ac:dyDescent="0.3">
      <c r="B237" s="45"/>
      <c r="C237" s="45"/>
      <c r="D237" s="127" t="str">
        <f t="shared" si="19"/>
        <v/>
      </c>
      <c r="E237" s="46"/>
      <c r="F237" s="211"/>
      <c r="G237" s="212"/>
      <c r="H237" s="152"/>
    </row>
    <row r="238" spans="2:8" s="43" customFormat="1" x14ac:dyDescent="0.3">
      <c r="B238" s="45"/>
      <c r="C238" s="45"/>
      <c r="D238" s="127" t="str">
        <f t="shared" si="19"/>
        <v/>
      </c>
      <c r="E238" s="46"/>
      <c r="F238" s="211"/>
      <c r="G238" s="212"/>
      <c r="H238" s="152"/>
    </row>
    <row r="239" spans="2:8" s="43" customFormat="1" ht="15" thickBot="1" x14ac:dyDescent="0.35">
      <c r="B239" s="47"/>
      <c r="C239" s="47"/>
      <c r="D239" s="128" t="str">
        <f t="shared" si="19"/>
        <v/>
      </c>
      <c r="E239" s="48"/>
      <c r="F239" s="213"/>
      <c r="G239" s="214"/>
      <c r="H239" s="152"/>
    </row>
    <row r="240" spans="2:8" s="43" customFormat="1" ht="15" thickBot="1" x14ac:dyDescent="0.35">
      <c r="B240" s="135" t="s">
        <v>40</v>
      </c>
      <c r="C240" s="66">
        <f>SUM(C232:C239)</f>
        <v>38</v>
      </c>
      <c r="D240" s="135" t="str">
        <f xml:space="preserve"> setValueToTime(C240)</f>
        <v>3h 10 min</v>
      </c>
      <c r="E240" s="96"/>
      <c r="F240" s="221"/>
      <c r="G240" s="222"/>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223" t="s">
        <v>38</v>
      </c>
      <c r="G243" s="224"/>
      <c r="H243" s="151"/>
    </row>
    <row r="244" spans="2:8" s="43" customFormat="1" ht="40.5" x14ac:dyDescent="0.3">
      <c r="B244" s="40" t="s">
        <v>73</v>
      </c>
      <c r="C244" s="41">
        <v>48</v>
      </c>
      <c r="D244" s="125" t="str">
        <f xml:space="preserve"> IF(C244="","",setValueToTime(C244))</f>
        <v>4h</v>
      </c>
      <c r="E244" s="42" t="s">
        <v>137</v>
      </c>
      <c r="F244" s="219"/>
      <c r="G244" s="220"/>
      <c r="H244" s="152"/>
    </row>
    <row r="245" spans="2:8" s="43" customFormat="1" x14ac:dyDescent="0.3">
      <c r="B245" s="44"/>
      <c r="C245" s="45"/>
      <c r="D245" s="126" t="str">
        <f t="shared" ref="D245:D251" si="20" xml:space="preserve"> IF(C245="","",setValueToTime(C245))</f>
        <v/>
      </c>
      <c r="E245" s="46"/>
      <c r="F245" s="211"/>
      <c r="G245" s="212"/>
      <c r="H245" s="152"/>
    </row>
    <row r="246" spans="2:8" s="43" customFormat="1" x14ac:dyDescent="0.3">
      <c r="B246" s="44"/>
      <c r="C246" s="45"/>
      <c r="D246" s="126" t="str">
        <f t="shared" si="20"/>
        <v/>
      </c>
      <c r="E246" s="46"/>
      <c r="F246" s="211"/>
      <c r="G246" s="212"/>
      <c r="H246" s="152"/>
    </row>
    <row r="247" spans="2:8" s="43" customFormat="1" x14ac:dyDescent="0.3">
      <c r="B247" s="44"/>
      <c r="C247" s="45"/>
      <c r="D247" s="126" t="str">
        <f t="shared" si="20"/>
        <v/>
      </c>
      <c r="E247" s="46"/>
      <c r="F247" s="211"/>
      <c r="G247" s="212"/>
      <c r="H247" s="152"/>
    </row>
    <row r="248" spans="2:8" s="43" customFormat="1" x14ac:dyDescent="0.3">
      <c r="B248" s="45"/>
      <c r="C248" s="45"/>
      <c r="D248" s="127" t="str">
        <f t="shared" si="20"/>
        <v/>
      </c>
      <c r="E248" s="46"/>
      <c r="F248" s="211"/>
      <c r="G248" s="212"/>
      <c r="H248" s="152"/>
    </row>
    <row r="249" spans="2:8" s="43" customFormat="1" x14ac:dyDescent="0.3">
      <c r="B249" s="45"/>
      <c r="C249" s="45"/>
      <c r="D249" s="127" t="str">
        <f t="shared" si="20"/>
        <v/>
      </c>
      <c r="E249" s="46"/>
      <c r="F249" s="211"/>
      <c r="G249" s="212"/>
      <c r="H249" s="152"/>
    </row>
    <row r="250" spans="2:8" s="43" customFormat="1" x14ac:dyDescent="0.3">
      <c r="B250" s="45"/>
      <c r="C250" s="45"/>
      <c r="D250" s="127" t="str">
        <f t="shared" si="20"/>
        <v/>
      </c>
      <c r="E250" s="46"/>
      <c r="F250" s="211"/>
      <c r="G250" s="212"/>
      <c r="H250" s="152"/>
    </row>
    <row r="251" spans="2:8" s="43" customFormat="1" ht="15" thickBot="1" x14ac:dyDescent="0.35">
      <c r="B251" s="47"/>
      <c r="C251" s="47"/>
      <c r="D251" s="128" t="str">
        <f t="shared" si="20"/>
        <v/>
      </c>
      <c r="E251" s="48"/>
      <c r="F251" s="213"/>
      <c r="G251" s="214"/>
      <c r="H251" s="152"/>
    </row>
    <row r="252" spans="2:8" s="43" customFormat="1" ht="15" thickBot="1" x14ac:dyDescent="0.35">
      <c r="B252" s="135" t="s">
        <v>40</v>
      </c>
      <c r="C252" s="66">
        <f>SUM(C244:C251)</f>
        <v>48</v>
      </c>
      <c r="D252" s="135" t="str">
        <f xml:space="preserve"> setValueToTime(C252)</f>
        <v>4h</v>
      </c>
      <c r="E252" s="96"/>
      <c r="F252" s="221"/>
      <c r="G252" s="222"/>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223" t="s">
        <v>38</v>
      </c>
      <c r="G255" s="224"/>
      <c r="H255" s="151"/>
    </row>
    <row r="256" spans="2:8" s="43" customFormat="1" ht="40.5" x14ac:dyDescent="0.3">
      <c r="B256" s="40" t="s">
        <v>30</v>
      </c>
      <c r="C256" s="41">
        <v>32</v>
      </c>
      <c r="D256" s="125" t="str">
        <f xml:space="preserve"> IF(C256="","",setValueToTime(C256))</f>
        <v>2h 40 min</v>
      </c>
      <c r="E256" s="42" t="s">
        <v>135</v>
      </c>
      <c r="F256" s="219"/>
      <c r="G256" s="220"/>
      <c r="H256" s="152"/>
    </row>
    <row r="257" spans="2:8" s="43" customFormat="1" ht="40.5" x14ac:dyDescent="0.3">
      <c r="B257" s="44" t="s">
        <v>73</v>
      </c>
      <c r="C257" s="45">
        <v>4</v>
      </c>
      <c r="D257" s="126" t="str">
        <f t="shared" ref="D257:D263" si="21" xml:space="preserve"> IF(C257="","",setValueToTime(C257))</f>
        <v xml:space="preserve"> 20 min</v>
      </c>
      <c r="E257" s="46" t="s">
        <v>136</v>
      </c>
      <c r="F257" s="211"/>
      <c r="G257" s="212"/>
      <c r="H257" s="152"/>
    </row>
    <row r="258" spans="2:8" s="43" customFormat="1" ht="27" x14ac:dyDescent="0.3">
      <c r="B258" s="44" t="s">
        <v>29</v>
      </c>
      <c r="C258" s="45">
        <v>2</v>
      </c>
      <c r="D258" s="126" t="str">
        <f t="shared" si="21"/>
        <v xml:space="preserve"> 10 min</v>
      </c>
      <c r="E258" s="46"/>
      <c r="F258" s="211"/>
      <c r="G258" s="212"/>
      <c r="H258" s="152"/>
    </row>
    <row r="259" spans="2:8" s="43" customFormat="1" x14ac:dyDescent="0.3">
      <c r="B259" s="44"/>
      <c r="C259" s="45"/>
      <c r="D259" s="126" t="str">
        <f t="shared" si="21"/>
        <v/>
      </c>
      <c r="E259" s="46"/>
      <c r="F259" s="211"/>
      <c r="G259" s="212"/>
      <c r="H259" s="152"/>
    </row>
    <row r="260" spans="2:8" s="43" customFormat="1" x14ac:dyDescent="0.3">
      <c r="B260" s="45"/>
      <c r="C260" s="45"/>
      <c r="D260" s="127" t="str">
        <f t="shared" si="21"/>
        <v/>
      </c>
      <c r="E260" s="46"/>
      <c r="F260" s="211"/>
      <c r="G260" s="212"/>
      <c r="H260" s="152"/>
    </row>
    <row r="261" spans="2:8" s="43" customFormat="1" x14ac:dyDescent="0.3">
      <c r="B261" s="45"/>
      <c r="C261" s="45"/>
      <c r="D261" s="127" t="str">
        <f t="shared" si="21"/>
        <v/>
      </c>
      <c r="E261" s="46"/>
      <c r="F261" s="211"/>
      <c r="G261" s="212"/>
      <c r="H261" s="152"/>
    </row>
    <row r="262" spans="2:8" s="43" customFormat="1" x14ac:dyDescent="0.3">
      <c r="B262" s="45"/>
      <c r="C262" s="45"/>
      <c r="D262" s="127" t="str">
        <f t="shared" si="21"/>
        <v/>
      </c>
      <c r="E262" s="46"/>
      <c r="F262" s="211"/>
      <c r="G262" s="212"/>
      <c r="H262" s="152"/>
    </row>
    <row r="263" spans="2:8" s="43" customFormat="1" ht="15" thickBot="1" x14ac:dyDescent="0.35">
      <c r="B263" s="47"/>
      <c r="C263" s="47"/>
      <c r="D263" s="128" t="str">
        <f t="shared" si="21"/>
        <v/>
      </c>
      <c r="E263" s="48"/>
      <c r="F263" s="213"/>
      <c r="G263" s="214"/>
      <c r="H263" s="152"/>
    </row>
    <row r="264" spans="2:8" s="43" customFormat="1" ht="15" thickBot="1" x14ac:dyDescent="0.35">
      <c r="B264" s="135" t="s">
        <v>40</v>
      </c>
      <c r="C264" s="66">
        <f>SUM(C256:C263)</f>
        <v>38</v>
      </c>
      <c r="D264" s="135" t="str">
        <f xml:space="preserve"> setValueToTime(C264)</f>
        <v>3h 10 min</v>
      </c>
      <c r="E264" s="96"/>
      <c r="F264" s="221"/>
      <c r="G264" s="222"/>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223" t="s">
        <v>38</v>
      </c>
      <c r="G267" s="224"/>
      <c r="H267" s="151"/>
    </row>
    <row r="268" spans="2:8" s="43" customFormat="1" ht="40.5" x14ac:dyDescent="0.3">
      <c r="B268" s="40" t="s">
        <v>30</v>
      </c>
      <c r="C268" s="41">
        <v>48</v>
      </c>
      <c r="D268" s="125" t="str">
        <f xml:space="preserve"> IF(C268="","",setValueToTime(C268))</f>
        <v>4h</v>
      </c>
      <c r="E268" s="42" t="s">
        <v>134</v>
      </c>
      <c r="F268" s="219"/>
      <c r="G268" s="220"/>
      <c r="H268" s="152"/>
    </row>
    <row r="269" spans="2:8" s="43" customFormat="1" x14ac:dyDescent="0.3">
      <c r="B269" s="44"/>
      <c r="C269" s="45"/>
      <c r="D269" s="126" t="str">
        <f t="shared" ref="D269:D275" si="22" xml:space="preserve"> IF(C269="","",setValueToTime(C269))</f>
        <v/>
      </c>
      <c r="E269" s="46"/>
      <c r="F269" s="211"/>
      <c r="G269" s="212"/>
      <c r="H269" s="152"/>
    </row>
    <row r="270" spans="2:8" s="43" customFormat="1" x14ac:dyDescent="0.3">
      <c r="B270" s="44"/>
      <c r="C270" s="45"/>
      <c r="D270" s="126" t="str">
        <f t="shared" si="22"/>
        <v/>
      </c>
      <c r="E270" s="46"/>
      <c r="F270" s="211"/>
      <c r="G270" s="212"/>
      <c r="H270" s="152"/>
    </row>
    <row r="271" spans="2:8" s="43" customFormat="1" x14ac:dyDescent="0.3">
      <c r="B271" s="44"/>
      <c r="C271" s="45"/>
      <c r="D271" s="126" t="str">
        <f t="shared" si="22"/>
        <v/>
      </c>
      <c r="E271" s="46"/>
      <c r="F271" s="211"/>
      <c r="G271" s="212"/>
      <c r="H271" s="152"/>
    </row>
    <row r="272" spans="2:8" s="43" customFormat="1" x14ac:dyDescent="0.3">
      <c r="B272" s="45"/>
      <c r="C272" s="45"/>
      <c r="D272" s="127" t="str">
        <f t="shared" si="22"/>
        <v/>
      </c>
      <c r="E272" s="46"/>
      <c r="F272" s="211"/>
      <c r="G272" s="212"/>
      <c r="H272" s="152"/>
    </row>
    <row r="273" spans="2:8" s="43" customFormat="1" x14ac:dyDescent="0.3">
      <c r="B273" s="45"/>
      <c r="C273" s="45"/>
      <c r="D273" s="127" t="str">
        <f t="shared" si="22"/>
        <v/>
      </c>
      <c r="E273" s="46"/>
      <c r="F273" s="211"/>
      <c r="G273" s="212"/>
      <c r="H273" s="152"/>
    </row>
    <row r="274" spans="2:8" s="43" customFormat="1" x14ac:dyDescent="0.3">
      <c r="B274" s="45"/>
      <c r="C274" s="45"/>
      <c r="D274" s="127" t="str">
        <f t="shared" si="22"/>
        <v/>
      </c>
      <c r="E274" s="46"/>
      <c r="F274" s="211"/>
      <c r="G274" s="212"/>
      <c r="H274" s="152"/>
    </row>
    <row r="275" spans="2:8" s="43" customFormat="1" ht="15" thickBot="1" x14ac:dyDescent="0.35">
      <c r="B275" s="47"/>
      <c r="C275" s="47"/>
      <c r="D275" s="128" t="str">
        <f t="shared" si="22"/>
        <v/>
      </c>
      <c r="E275" s="48"/>
      <c r="F275" s="213"/>
      <c r="G275" s="214"/>
      <c r="H275" s="152"/>
    </row>
    <row r="276" spans="2:8" s="43" customFormat="1" ht="15" thickBot="1" x14ac:dyDescent="0.35">
      <c r="B276" s="135" t="s">
        <v>40</v>
      </c>
      <c r="C276" s="66">
        <f>SUM(C268:C275)</f>
        <v>48</v>
      </c>
      <c r="D276" s="135" t="str">
        <f xml:space="preserve"> setValueToTime(C276)</f>
        <v>4h</v>
      </c>
      <c r="E276" s="96"/>
      <c r="F276" s="221"/>
      <c r="G276" s="222"/>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223" t="s">
        <v>38</v>
      </c>
      <c r="G279" s="224"/>
      <c r="H279" s="151"/>
    </row>
    <row r="280" spans="2:8" s="43" customFormat="1" x14ac:dyDescent="0.3">
      <c r="B280" s="40" t="s">
        <v>30</v>
      </c>
      <c r="C280" s="41">
        <v>25</v>
      </c>
      <c r="D280" s="125" t="str">
        <f xml:space="preserve"> IF(C280="","",setValueToTime(C280))</f>
        <v>2h 5 min</v>
      </c>
      <c r="E280" s="42" t="s">
        <v>133</v>
      </c>
      <c r="F280" s="219"/>
      <c r="G280" s="220"/>
      <c r="H280" s="152"/>
    </row>
    <row r="281" spans="2:8" s="43" customFormat="1" ht="27" x14ac:dyDescent="0.3">
      <c r="B281" s="44" t="s">
        <v>29</v>
      </c>
      <c r="C281" s="45">
        <v>3</v>
      </c>
      <c r="D281" s="126" t="str">
        <f t="shared" ref="D281:D287" si="23" xml:space="preserve"> IF(C281="","",setValueToTime(C281))</f>
        <v xml:space="preserve"> 15 min</v>
      </c>
      <c r="E281" s="46"/>
      <c r="F281" s="211"/>
      <c r="G281" s="212"/>
      <c r="H281" s="152"/>
    </row>
    <row r="282" spans="2:8" s="43" customFormat="1" x14ac:dyDescent="0.3">
      <c r="B282" s="44"/>
      <c r="C282" s="45"/>
      <c r="D282" s="126" t="str">
        <f t="shared" si="23"/>
        <v/>
      </c>
      <c r="E282" s="46"/>
      <c r="F282" s="211"/>
      <c r="G282" s="212"/>
      <c r="H282" s="152"/>
    </row>
    <row r="283" spans="2:8" s="43" customFormat="1" x14ac:dyDescent="0.3">
      <c r="B283" s="44"/>
      <c r="C283" s="45"/>
      <c r="D283" s="126" t="str">
        <f t="shared" si="23"/>
        <v/>
      </c>
      <c r="E283" s="46"/>
      <c r="F283" s="211"/>
      <c r="G283" s="212"/>
      <c r="H283" s="152"/>
    </row>
    <row r="284" spans="2:8" s="43" customFormat="1" x14ac:dyDescent="0.3">
      <c r="B284" s="45"/>
      <c r="C284" s="45"/>
      <c r="D284" s="127" t="str">
        <f t="shared" si="23"/>
        <v/>
      </c>
      <c r="E284" s="46"/>
      <c r="F284" s="211"/>
      <c r="G284" s="212"/>
      <c r="H284" s="152"/>
    </row>
    <row r="285" spans="2:8" s="43" customFormat="1" x14ac:dyDescent="0.3">
      <c r="B285" s="45"/>
      <c r="C285" s="45"/>
      <c r="D285" s="127" t="str">
        <f t="shared" si="23"/>
        <v/>
      </c>
      <c r="E285" s="46"/>
      <c r="F285" s="211"/>
      <c r="G285" s="212"/>
      <c r="H285" s="152"/>
    </row>
    <row r="286" spans="2:8" s="43" customFormat="1" x14ac:dyDescent="0.3">
      <c r="B286" s="45"/>
      <c r="C286" s="45"/>
      <c r="D286" s="127" t="str">
        <f t="shared" si="23"/>
        <v/>
      </c>
      <c r="E286" s="46"/>
      <c r="F286" s="211"/>
      <c r="G286" s="212"/>
      <c r="H286" s="152"/>
    </row>
    <row r="287" spans="2:8" s="43" customFormat="1" ht="15" thickBot="1" x14ac:dyDescent="0.35">
      <c r="B287" s="47"/>
      <c r="C287" s="47"/>
      <c r="D287" s="128" t="str">
        <f t="shared" si="23"/>
        <v/>
      </c>
      <c r="E287" s="48"/>
      <c r="F287" s="213"/>
      <c r="G287" s="214"/>
      <c r="H287" s="152"/>
    </row>
    <row r="288" spans="2:8" s="43" customFormat="1" ht="15" thickBot="1" x14ac:dyDescent="0.35">
      <c r="B288" s="135" t="s">
        <v>40</v>
      </c>
      <c r="C288" s="66">
        <f>SUM(C280:C287)</f>
        <v>28</v>
      </c>
      <c r="D288" s="135" t="str">
        <f xml:space="preserve"> setValueToTime(C288)</f>
        <v>2h 20 min</v>
      </c>
      <c r="E288" s="96"/>
      <c r="F288" s="221"/>
      <c r="G288" s="222"/>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223" t="s">
        <v>38</v>
      </c>
      <c r="G291" s="224"/>
      <c r="H291" s="151"/>
    </row>
    <row r="292" spans="2:8" s="43" customFormat="1" ht="27" x14ac:dyDescent="0.3">
      <c r="B292" s="40" t="s">
        <v>43</v>
      </c>
      <c r="C292" s="41">
        <v>28</v>
      </c>
      <c r="D292" s="125" t="str">
        <f xml:space="preserve"> IF(C292="","",setValueToTime(C292))</f>
        <v>2h 20 min</v>
      </c>
      <c r="E292" s="42" t="s">
        <v>131</v>
      </c>
      <c r="F292" s="219"/>
      <c r="G292" s="220"/>
      <c r="H292" s="152"/>
    </row>
    <row r="293" spans="2:8" s="43" customFormat="1" x14ac:dyDescent="0.3">
      <c r="B293" s="44" t="s">
        <v>30</v>
      </c>
      <c r="C293" s="45">
        <v>20</v>
      </c>
      <c r="D293" s="126" t="str">
        <f t="shared" ref="D293:D299" si="24" xml:space="preserve"> IF(C293="","",setValueToTime(C293))</f>
        <v>1h 40 min</v>
      </c>
      <c r="E293" s="46" t="s">
        <v>132</v>
      </c>
      <c r="F293" s="211"/>
      <c r="G293" s="212"/>
      <c r="H293" s="152"/>
    </row>
    <row r="294" spans="2:8" s="43" customFormat="1" x14ac:dyDescent="0.3">
      <c r="B294" s="44"/>
      <c r="C294" s="45"/>
      <c r="D294" s="126" t="str">
        <f t="shared" si="24"/>
        <v/>
      </c>
      <c r="E294" s="46"/>
      <c r="F294" s="211"/>
      <c r="G294" s="212"/>
      <c r="H294" s="152"/>
    </row>
    <row r="295" spans="2:8" s="43" customFormat="1" x14ac:dyDescent="0.3">
      <c r="B295" s="44"/>
      <c r="C295" s="45"/>
      <c r="D295" s="126" t="str">
        <f t="shared" si="24"/>
        <v/>
      </c>
      <c r="E295" s="46"/>
      <c r="F295" s="211"/>
      <c r="G295" s="212"/>
      <c r="H295" s="152"/>
    </row>
    <row r="296" spans="2:8" s="43" customFormat="1" x14ac:dyDescent="0.3">
      <c r="B296" s="45"/>
      <c r="C296" s="45"/>
      <c r="D296" s="127" t="str">
        <f t="shared" si="24"/>
        <v/>
      </c>
      <c r="E296" s="46"/>
      <c r="F296" s="211"/>
      <c r="G296" s="212"/>
      <c r="H296" s="152"/>
    </row>
    <row r="297" spans="2:8" s="43" customFormat="1" x14ac:dyDescent="0.3">
      <c r="B297" s="45"/>
      <c r="C297" s="45"/>
      <c r="D297" s="127" t="str">
        <f t="shared" si="24"/>
        <v/>
      </c>
      <c r="E297" s="46"/>
      <c r="F297" s="211"/>
      <c r="G297" s="212"/>
      <c r="H297" s="152"/>
    </row>
    <row r="298" spans="2:8" s="43" customFormat="1" x14ac:dyDescent="0.3">
      <c r="B298" s="45"/>
      <c r="C298" s="45"/>
      <c r="D298" s="127" t="str">
        <f t="shared" si="24"/>
        <v/>
      </c>
      <c r="E298" s="46"/>
      <c r="F298" s="211"/>
      <c r="G298" s="212"/>
      <c r="H298" s="152"/>
    </row>
    <row r="299" spans="2:8" s="43" customFormat="1" ht="15" thickBot="1" x14ac:dyDescent="0.35">
      <c r="B299" s="47"/>
      <c r="C299" s="47"/>
      <c r="D299" s="128" t="str">
        <f t="shared" si="24"/>
        <v/>
      </c>
      <c r="E299" s="48"/>
      <c r="F299" s="213"/>
      <c r="G299" s="214"/>
      <c r="H299" s="152"/>
    </row>
    <row r="300" spans="2:8" s="43" customFormat="1" ht="15" thickBot="1" x14ac:dyDescent="0.35">
      <c r="B300" s="135" t="s">
        <v>40</v>
      </c>
      <c r="C300" s="66">
        <f>SUM(C292:C299)</f>
        <v>48</v>
      </c>
      <c r="D300" s="135" t="str">
        <f xml:space="preserve"> setValueToTime(C300)</f>
        <v>4h</v>
      </c>
      <c r="E300" s="96"/>
      <c r="F300" s="221"/>
      <c r="G300" s="222"/>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223" t="s">
        <v>38</v>
      </c>
      <c r="G303" s="224"/>
      <c r="H303" s="151"/>
    </row>
    <row r="304" spans="2:8" s="43" customFormat="1" ht="27" x14ac:dyDescent="0.3">
      <c r="B304" s="40" t="s">
        <v>28</v>
      </c>
      <c r="C304" s="41">
        <v>23</v>
      </c>
      <c r="D304" s="125" t="str">
        <f xml:space="preserve"> IF(C304="","",setValueToTime(C304))</f>
        <v>1h 55 min</v>
      </c>
      <c r="E304" s="42" t="s">
        <v>129</v>
      </c>
      <c r="F304" s="219"/>
      <c r="G304" s="220"/>
      <c r="H304" s="152"/>
    </row>
    <row r="305" spans="2:8" s="43" customFormat="1" ht="27" x14ac:dyDescent="0.3">
      <c r="B305" s="44" t="s">
        <v>60</v>
      </c>
      <c r="C305" s="45">
        <v>2</v>
      </c>
      <c r="D305" s="126" t="str">
        <f t="shared" ref="D305:D311" si="25" xml:space="preserve"> IF(C305="","",setValueToTime(C305))</f>
        <v xml:space="preserve"> 10 min</v>
      </c>
      <c r="E305" s="46" t="s">
        <v>130</v>
      </c>
      <c r="F305" s="211"/>
      <c r="G305" s="212"/>
      <c r="H305" s="152"/>
    </row>
    <row r="306" spans="2:8" s="43" customFormat="1" ht="27" x14ac:dyDescent="0.3">
      <c r="B306" s="44" t="s">
        <v>29</v>
      </c>
      <c r="C306" s="45">
        <v>3</v>
      </c>
      <c r="D306" s="126" t="str">
        <f t="shared" ref="D306" si="26" xml:space="preserve"> IF(C306="","",setValueToTime(C306))</f>
        <v xml:space="preserve"> 15 min</v>
      </c>
      <c r="E306" s="46" t="s">
        <v>128</v>
      </c>
      <c r="F306" s="211"/>
      <c r="G306" s="212"/>
      <c r="H306" s="152"/>
    </row>
    <row r="307" spans="2:8" s="43" customFormat="1" x14ac:dyDescent="0.3">
      <c r="B307" s="44"/>
      <c r="C307" s="45"/>
      <c r="D307" s="126" t="str">
        <f t="shared" si="25"/>
        <v/>
      </c>
      <c r="E307" s="46"/>
      <c r="F307" s="211"/>
      <c r="G307" s="212"/>
      <c r="H307" s="152"/>
    </row>
    <row r="308" spans="2:8" s="43" customFormat="1" x14ac:dyDescent="0.3">
      <c r="B308" s="45"/>
      <c r="C308" s="45"/>
      <c r="D308" s="127" t="str">
        <f t="shared" si="25"/>
        <v/>
      </c>
      <c r="E308" s="46"/>
      <c r="F308" s="211"/>
      <c r="G308" s="212"/>
      <c r="H308" s="152"/>
    </row>
    <row r="309" spans="2:8" s="43" customFormat="1" x14ac:dyDescent="0.3">
      <c r="B309" s="45"/>
      <c r="C309" s="45"/>
      <c r="D309" s="127" t="str">
        <f t="shared" si="25"/>
        <v/>
      </c>
      <c r="E309" s="46"/>
      <c r="F309" s="211"/>
      <c r="G309" s="212"/>
      <c r="H309" s="152"/>
    </row>
    <row r="310" spans="2:8" s="43" customFormat="1" x14ac:dyDescent="0.3">
      <c r="B310" s="45"/>
      <c r="C310" s="45"/>
      <c r="D310" s="127" t="str">
        <f t="shared" si="25"/>
        <v/>
      </c>
      <c r="E310" s="46"/>
      <c r="F310" s="211"/>
      <c r="G310" s="212"/>
      <c r="H310" s="152"/>
    </row>
    <row r="311" spans="2:8" s="43" customFormat="1" ht="15" thickBot="1" x14ac:dyDescent="0.35">
      <c r="B311" s="47"/>
      <c r="C311" s="47"/>
      <c r="D311" s="128" t="str">
        <f t="shared" si="25"/>
        <v/>
      </c>
      <c r="E311" s="48"/>
      <c r="F311" s="213"/>
      <c r="G311" s="214"/>
      <c r="H311" s="152"/>
    </row>
    <row r="312" spans="2:8" s="43" customFormat="1" ht="15" thickBot="1" x14ac:dyDescent="0.35">
      <c r="B312" s="135" t="s">
        <v>40</v>
      </c>
      <c r="C312" s="66">
        <f>SUM(C304:C311)</f>
        <v>28</v>
      </c>
      <c r="D312" s="135" t="str">
        <f xml:space="preserve"> setValueToTime(C312)</f>
        <v>2h 20 min</v>
      </c>
      <c r="E312" s="96"/>
      <c r="F312" s="221"/>
      <c r="G312" s="222"/>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223" t="s">
        <v>38</v>
      </c>
      <c r="G315" s="224"/>
      <c r="H315" s="151"/>
    </row>
    <row r="316" spans="2:8" s="43" customFormat="1" ht="27" x14ac:dyDescent="0.3">
      <c r="B316" s="40" t="s">
        <v>61</v>
      </c>
      <c r="C316" s="41">
        <v>9</v>
      </c>
      <c r="D316" s="125" t="str">
        <f xml:space="preserve"> IF(C316="","",setValueToTime(C316))</f>
        <v xml:space="preserve"> 45 min</v>
      </c>
      <c r="E316" s="42" t="s">
        <v>127</v>
      </c>
      <c r="F316" s="219"/>
      <c r="G316" s="220"/>
      <c r="H316" s="152"/>
    </row>
    <row r="317" spans="2:8" s="43" customFormat="1" ht="27" x14ac:dyDescent="0.3">
      <c r="B317" s="44" t="s">
        <v>42</v>
      </c>
      <c r="C317" s="45">
        <v>5</v>
      </c>
      <c r="D317" s="126" t="str">
        <f t="shared" ref="D317:D323" si="27" xml:space="preserve"> IF(C317="","",setValueToTime(C317))</f>
        <v xml:space="preserve"> 25 min</v>
      </c>
      <c r="E317" s="46" t="s">
        <v>126</v>
      </c>
      <c r="F317" s="211"/>
      <c r="G317" s="212"/>
      <c r="H317" s="152"/>
    </row>
    <row r="318" spans="2:8" s="43" customFormat="1" ht="27" x14ac:dyDescent="0.3">
      <c r="B318" s="44" t="s">
        <v>60</v>
      </c>
      <c r="C318" s="45">
        <v>3</v>
      </c>
      <c r="D318" s="126" t="str">
        <f t="shared" si="27"/>
        <v xml:space="preserve"> 15 min</v>
      </c>
      <c r="E318" s="46" t="s">
        <v>125</v>
      </c>
      <c r="F318" s="211"/>
      <c r="G318" s="212"/>
      <c r="H318" s="152"/>
    </row>
    <row r="319" spans="2:8" s="43" customFormat="1" ht="27" x14ac:dyDescent="0.3">
      <c r="B319" s="44" t="s">
        <v>70</v>
      </c>
      <c r="C319" s="45">
        <v>2</v>
      </c>
      <c r="D319" s="126" t="str">
        <f t="shared" si="27"/>
        <v xml:space="preserve"> 10 min</v>
      </c>
      <c r="E319" s="46" t="s">
        <v>124</v>
      </c>
      <c r="F319" s="211"/>
      <c r="G319" s="212"/>
      <c r="H319" s="152"/>
    </row>
    <row r="320" spans="2:8" s="43" customFormat="1" ht="27" x14ac:dyDescent="0.3">
      <c r="B320" s="45" t="s">
        <v>28</v>
      </c>
      <c r="C320" s="45">
        <v>19</v>
      </c>
      <c r="D320" s="127" t="str">
        <f t="shared" si="27"/>
        <v>1h 35 min</v>
      </c>
      <c r="E320" s="46" t="s">
        <v>123</v>
      </c>
      <c r="F320" s="211"/>
      <c r="G320" s="212"/>
      <c r="H320" s="152"/>
    </row>
    <row r="321" spans="2:8" s="43" customFormat="1" x14ac:dyDescent="0.3">
      <c r="B321" s="45"/>
      <c r="C321" s="45"/>
      <c r="D321" s="127" t="str">
        <f t="shared" si="27"/>
        <v/>
      </c>
      <c r="E321" s="46"/>
      <c r="F321" s="211"/>
      <c r="G321" s="212"/>
      <c r="H321" s="152"/>
    </row>
    <row r="322" spans="2:8" s="43" customFormat="1" x14ac:dyDescent="0.3">
      <c r="B322" s="45"/>
      <c r="C322" s="45"/>
      <c r="D322" s="127" t="str">
        <f t="shared" si="27"/>
        <v/>
      </c>
      <c r="E322" s="46"/>
      <c r="F322" s="211"/>
      <c r="G322" s="212"/>
      <c r="H322" s="152"/>
    </row>
    <row r="323" spans="2:8" s="43" customFormat="1" ht="15" thickBot="1" x14ac:dyDescent="0.35">
      <c r="B323" s="47"/>
      <c r="C323" s="47"/>
      <c r="D323" s="128" t="str">
        <f t="shared" si="27"/>
        <v/>
      </c>
      <c r="E323" s="48"/>
      <c r="F323" s="213"/>
      <c r="G323" s="214"/>
      <c r="H323" s="152"/>
    </row>
    <row r="324" spans="2:8" s="43" customFormat="1" ht="15" thickBot="1" x14ac:dyDescent="0.35">
      <c r="B324" s="135" t="s">
        <v>40</v>
      </c>
      <c r="C324" s="66">
        <f>SUM(C316:C323)</f>
        <v>38</v>
      </c>
      <c r="D324" s="135" t="str">
        <f xml:space="preserve"> setValueToTime(C324)</f>
        <v>3h 10 min</v>
      </c>
      <c r="E324" s="96"/>
      <c r="F324" s="221"/>
      <c r="G324" s="222"/>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hyperlinks>
    <hyperlink ref="F160" r:id="rId1" location="rendering-exceptions" xr:uid="{16B20832-089C-4BBE-9A2B-685CC1EE051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1</xdr:col>
                <xdr:colOff>104775</xdr:colOff>
                <xdr:row>0</xdr:row>
                <xdr:rowOff>85725</xdr:rowOff>
              </from>
              <to>
                <xdr:col>2</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3</xdr:col>
                <xdr:colOff>85725</xdr:colOff>
                <xdr:row>0</xdr:row>
                <xdr:rowOff>85725</xdr:rowOff>
              </from>
              <to>
                <xdr:col>4</xdr:col>
                <xdr:colOff>762000</xdr:colOff>
                <xdr:row>0</xdr:row>
                <xdr:rowOff>561975</xdr:rowOff>
              </to>
            </anchor>
          </controlPr>
        </control>
      </mc:Choice>
      <mc:Fallback>
        <control shapeId="9220" r:id="rId7"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3"/>
    </row>
    <row r="11" spans="1:61" ht="18" x14ac:dyDescent="0.25">
      <c r="A11" s="197"/>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73"/>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73"/>
    </row>
    <row r="13" spans="1:61" ht="18.75" thickBot="1" x14ac:dyDescent="0.3">
      <c r="A13" s="198" t="s">
        <v>33</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73"/>
    </row>
    <row r="14" spans="1:61" ht="15.75" thickBot="1" x14ac:dyDescent="0.35">
      <c r="A14" s="81"/>
      <c r="B14" s="82"/>
      <c r="C14" s="82"/>
      <c r="D14" s="82"/>
      <c r="E14" s="182" t="s">
        <v>17</v>
      </c>
      <c r="F14" s="182"/>
      <c r="G14" s="182"/>
      <c r="H14" s="182"/>
      <c r="I14" s="82"/>
      <c r="J14" s="82"/>
      <c r="K14" s="183" t="s">
        <v>18</v>
      </c>
      <c r="L14" s="183"/>
      <c r="M14" s="183"/>
      <c r="N14" s="183"/>
      <c r="O14" s="102"/>
      <c r="P14" s="102"/>
      <c r="Q14" s="182" t="s">
        <v>19</v>
      </c>
      <c r="R14" s="182"/>
      <c r="S14" s="182"/>
      <c r="T14" s="182"/>
      <c r="U14" s="82"/>
      <c r="V14" s="82"/>
      <c r="W14" s="183" t="s">
        <v>20</v>
      </c>
      <c r="X14" s="183"/>
      <c r="Y14" s="183"/>
      <c r="Z14" s="183"/>
      <c r="AA14" s="102"/>
      <c r="AB14" s="102"/>
      <c r="AC14" s="182" t="s">
        <v>21</v>
      </c>
      <c r="AD14" s="182"/>
      <c r="AE14" s="182"/>
      <c r="AF14" s="182"/>
      <c r="AG14" s="82"/>
      <c r="AH14" s="82"/>
      <c r="AI14" s="183" t="s">
        <v>22</v>
      </c>
      <c r="AJ14" s="183"/>
      <c r="AK14" s="183"/>
      <c r="AL14" s="183"/>
      <c r="AM14" s="102"/>
      <c r="AN14" s="102"/>
      <c r="AO14" s="182" t="s">
        <v>23</v>
      </c>
      <c r="AP14" s="182"/>
      <c r="AQ14" s="182"/>
      <c r="AR14" s="182"/>
      <c r="AS14" s="82"/>
      <c r="AT14" s="82"/>
      <c r="AU14" s="183" t="s">
        <v>24</v>
      </c>
      <c r="AV14" s="183"/>
      <c r="AW14" s="183"/>
      <c r="AX14" s="183"/>
      <c r="AY14" s="102"/>
      <c r="AZ14" s="102"/>
      <c r="BA14" s="182" t="s">
        <v>25</v>
      </c>
      <c r="BB14" s="182"/>
      <c r="BC14" s="182"/>
      <c r="BD14" s="18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17" t="s">
        <v>38</v>
      </c>
      <c r="G2" s="218"/>
      <c r="H2" s="151"/>
    </row>
    <row r="3" spans="2:8" s="43" customFormat="1" x14ac:dyDescent="0.3">
      <c r="B3" s="40" t="s">
        <v>39</v>
      </c>
      <c r="C3" s="41"/>
      <c r="D3" s="125" t="str">
        <f xml:space="preserve"> IF(C3="","",setValueToTime(C3))</f>
        <v/>
      </c>
      <c r="E3" s="42"/>
      <c r="F3" s="219"/>
      <c r="G3" s="220"/>
      <c r="H3" s="152"/>
    </row>
    <row r="4" spans="2:8" s="43" customFormat="1" x14ac:dyDescent="0.3">
      <c r="B4" s="44"/>
      <c r="C4" s="45"/>
      <c r="D4" s="126" t="str">
        <f t="shared" ref="D4:D10" si="0" xml:space="preserve"> IF(C4="","",setValueToTime(C4))</f>
        <v/>
      </c>
      <c r="E4" s="46"/>
      <c r="F4" s="211"/>
      <c r="G4" s="212"/>
      <c r="H4" s="152"/>
    </row>
    <row r="5" spans="2:8" s="43" customFormat="1" x14ac:dyDescent="0.3">
      <c r="B5" s="44"/>
      <c r="C5" s="45"/>
      <c r="D5" s="126" t="str">
        <f t="shared" si="0"/>
        <v/>
      </c>
      <c r="E5" s="46"/>
      <c r="F5" s="211"/>
      <c r="G5" s="212"/>
      <c r="H5" s="152"/>
    </row>
    <row r="6" spans="2:8" s="43" customFormat="1" x14ac:dyDescent="0.3">
      <c r="B6" s="44"/>
      <c r="C6" s="45"/>
      <c r="D6" s="126" t="str">
        <f t="shared" si="0"/>
        <v/>
      </c>
      <c r="E6" s="46"/>
      <c r="F6" s="211"/>
      <c r="G6" s="212"/>
      <c r="H6" s="152"/>
    </row>
    <row r="7" spans="2:8" s="43" customFormat="1" x14ac:dyDescent="0.3">
      <c r="B7" s="44"/>
      <c r="C7" s="45"/>
      <c r="D7" s="127" t="str">
        <f t="shared" si="0"/>
        <v/>
      </c>
      <c r="E7" s="46"/>
      <c r="F7" s="211"/>
      <c r="G7" s="212"/>
      <c r="H7" s="152"/>
    </row>
    <row r="8" spans="2:8" s="43" customFormat="1" x14ac:dyDescent="0.3">
      <c r="B8" s="44"/>
      <c r="C8" s="45"/>
      <c r="D8" s="127" t="str">
        <f t="shared" si="0"/>
        <v/>
      </c>
      <c r="E8" s="46"/>
      <c r="F8" s="211"/>
      <c r="G8" s="212"/>
      <c r="H8" s="152"/>
    </row>
    <row r="9" spans="2:8" s="43" customFormat="1" x14ac:dyDescent="0.3">
      <c r="B9" s="44"/>
      <c r="C9" s="45"/>
      <c r="D9" s="127" t="str">
        <f t="shared" si="0"/>
        <v/>
      </c>
      <c r="E9" s="46"/>
      <c r="F9" s="211"/>
      <c r="G9" s="212"/>
      <c r="H9" s="152"/>
    </row>
    <row r="10" spans="2:8" s="43" customFormat="1" ht="15" thickBot="1" x14ac:dyDescent="0.35">
      <c r="B10" s="44"/>
      <c r="C10" s="47"/>
      <c r="D10" s="128" t="str">
        <f t="shared" si="0"/>
        <v/>
      </c>
      <c r="E10" s="48"/>
      <c r="F10" s="213"/>
      <c r="G10" s="214"/>
      <c r="H10" s="152"/>
    </row>
    <row r="11" spans="2:8" s="43" customFormat="1" ht="15" thickBot="1" x14ac:dyDescent="0.35">
      <c r="B11" s="86" t="s">
        <v>40</v>
      </c>
      <c r="C11" s="67">
        <f>SUM(C3:C10)</f>
        <v>0</v>
      </c>
      <c r="D11" s="86" t="str">
        <f xml:space="preserve"> setValueToTime(C11)</f>
        <v/>
      </c>
      <c r="E11" s="95"/>
      <c r="F11" s="215"/>
      <c r="G11" s="216"/>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223" t="s">
        <v>38</v>
      </c>
      <c r="G2" s="224"/>
      <c r="H2" s="151"/>
    </row>
    <row r="3" spans="2:8" s="43" customFormat="1" x14ac:dyDescent="0.3">
      <c r="B3" s="40"/>
      <c r="C3" s="41"/>
      <c r="D3" s="125" t="str">
        <f xml:space="preserve"> IF(C3="","",setValueToTime(C3))</f>
        <v/>
      </c>
      <c r="E3" s="42"/>
      <c r="F3" s="219"/>
      <c r="G3" s="220"/>
      <c r="H3" s="152"/>
    </row>
    <row r="4" spans="2:8" s="43" customFormat="1" x14ac:dyDescent="0.3">
      <c r="B4" s="44"/>
      <c r="C4" s="45"/>
      <c r="D4" s="126" t="str">
        <f t="shared" ref="D4:D10" si="0" xml:space="preserve"> IF(C4="","",setValueToTime(C4))</f>
        <v/>
      </c>
      <c r="E4" s="46"/>
      <c r="F4" s="211"/>
      <c r="G4" s="212"/>
      <c r="H4" s="152"/>
    </row>
    <row r="5" spans="2:8" s="43" customFormat="1" x14ac:dyDescent="0.3">
      <c r="B5" s="44"/>
      <c r="C5" s="45"/>
      <c r="D5" s="126" t="str">
        <f t="shared" si="0"/>
        <v/>
      </c>
      <c r="E5" s="46"/>
      <c r="F5" s="211"/>
      <c r="G5" s="212"/>
      <c r="H5" s="152"/>
    </row>
    <row r="6" spans="2:8" s="43" customFormat="1" x14ac:dyDescent="0.3">
      <c r="B6" s="44"/>
      <c r="C6" s="45"/>
      <c r="D6" s="126" t="str">
        <f t="shared" si="0"/>
        <v/>
      </c>
      <c r="E6" s="46"/>
      <c r="F6" s="211"/>
      <c r="G6" s="212"/>
      <c r="H6" s="152"/>
    </row>
    <row r="7" spans="2:8" s="43" customFormat="1" x14ac:dyDescent="0.3">
      <c r="B7" s="45"/>
      <c r="C7" s="45"/>
      <c r="D7" s="127" t="str">
        <f t="shared" si="0"/>
        <v/>
      </c>
      <c r="E7" s="46"/>
      <c r="F7" s="211"/>
      <c r="G7" s="212"/>
      <c r="H7" s="152"/>
    </row>
    <row r="8" spans="2:8" s="43" customFormat="1" x14ac:dyDescent="0.3">
      <c r="B8" s="45"/>
      <c r="C8" s="45"/>
      <c r="D8" s="127" t="str">
        <f t="shared" si="0"/>
        <v/>
      </c>
      <c r="E8" s="46"/>
      <c r="F8" s="211"/>
      <c r="G8" s="212"/>
      <c r="H8" s="152"/>
    </row>
    <row r="9" spans="2:8" s="43" customFormat="1" x14ac:dyDescent="0.3">
      <c r="B9" s="45"/>
      <c r="C9" s="45"/>
      <c r="D9" s="127" t="str">
        <f t="shared" si="0"/>
        <v/>
      </c>
      <c r="E9" s="46"/>
      <c r="F9" s="211"/>
      <c r="G9" s="212"/>
      <c r="H9" s="152"/>
    </row>
    <row r="10" spans="2:8" s="43" customFormat="1" ht="15" thickBot="1" x14ac:dyDescent="0.35">
      <c r="B10" s="47"/>
      <c r="C10" s="47"/>
      <c r="D10" s="128" t="str">
        <f t="shared" si="0"/>
        <v/>
      </c>
      <c r="E10" s="48"/>
      <c r="F10" s="213"/>
      <c r="G10" s="214"/>
      <c r="H10" s="152"/>
    </row>
    <row r="11" spans="2:8" s="43" customFormat="1" ht="15" thickBot="1" x14ac:dyDescent="0.35">
      <c r="B11" s="135" t="s">
        <v>40</v>
      </c>
      <c r="C11" s="66">
        <f>SUM(C3:C10)</f>
        <v>0</v>
      </c>
      <c r="D11" s="135" t="str">
        <f xml:space="preserve"> setValueToTime(C11)</f>
        <v/>
      </c>
      <c r="E11" s="96"/>
      <c r="F11" s="221"/>
      <c r="G11" s="222"/>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2026-05-20T08:14:38Z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