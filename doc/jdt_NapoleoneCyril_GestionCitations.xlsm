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updateLinks="never" codeName="ThisWorkbook"/>
  <mc:AlternateContent xmlns:mc="http://schemas.openxmlformats.org/markup-compatibility/2006">
    <mc:Choice Requires="x15">
      <x15ac:absPath xmlns:x15ac="http://schemas.microsoft.com/office/spreadsheetml/2010/11/ac" url="C:\Users\pt63blc\Desktop\TPI\doc\"/>
    </mc:Choice>
  </mc:AlternateContent>
  <xr:revisionPtr revIDLastSave="0" documentId="13_ncr:1_{C0A0200E-33C5-496A-B9F1-7DCBB8BC03B5}"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1" i="12" l="1"/>
  <c r="D150" i="12"/>
  <c r="D149" i="12"/>
  <c r="C12" i="12"/>
  <c r="D11" i="12"/>
  <c r="D10" i="12"/>
  <c r="D9" i="12"/>
  <c r="D8" i="12"/>
  <c r="D7" i="12"/>
  <c r="D6" i="12"/>
  <c r="D5" i="12"/>
  <c r="D4" i="12"/>
  <c r="C24" i="12"/>
  <c r="D23" i="12"/>
  <c r="D22" i="12"/>
  <c r="D21" i="12"/>
  <c r="D20" i="12"/>
  <c r="D19" i="12"/>
  <c r="D18" i="12"/>
  <c r="D17" i="12"/>
  <c r="D16" i="12"/>
  <c r="C36" i="12"/>
  <c r="D35" i="12"/>
  <c r="D34" i="12"/>
  <c r="D33" i="12"/>
  <c r="D32" i="12"/>
  <c r="D31" i="12"/>
  <c r="D30" i="12"/>
  <c r="D29" i="12"/>
  <c r="D28" i="12"/>
  <c r="C48" i="12"/>
  <c r="D47" i="12"/>
  <c r="D46" i="12"/>
  <c r="D45" i="12"/>
  <c r="D44" i="12"/>
  <c r="D43" i="12"/>
  <c r="D42" i="12"/>
  <c r="D41" i="12"/>
  <c r="D40" i="12"/>
  <c r="C60" i="12"/>
  <c r="D59" i="12"/>
  <c r="D58" i="12"/>
  <c r="D57" i="12"/>
  <c r="D56" i="12"/>
  <c r="D55" i="12"/>
  <c r="D54" i="12"/>
  <c r="D53" i="12"/>
  <c r="D52" i="12"/>
  <c r="C72" i="12"/>
  <c r="D71" i="12"/>
  <c r="D70" i="12"/>
  <c r="D69" i="12"/>
  <c r="D68" i="12"/>
  <c r="D67" i="12"/>
  <c r="D66" i="12"/>
  <c r="D65" i="12"/>
  <c r="D64" i="12"/>
  <c r="C84" i="12"/>
  <c r="D83" i="12"/>
  <c r="D82" i="12"/>
  <c r="D81" i="12"/>
  <c r="D80" i="12"/>
  <c r="D79" i="12"/>
  <c r="D78" i="12"/>
  <c r="D77" i="12"/>
  <c r="D76" i="12"/>
  <c r="C96" i="12"/>
  <c r="D95" i="12"/>
  <c r="D94" i="12"/>
  <c r="D93" i="12"/>
  <c r="D92" i="12"/>
  <c r="D91" i="12"/>
  <c r="D90" i="12"/>
  <c r="D89" i="12"/>
  <c r="D88" i="12"/>
  <c r="C108" i="12"/>
  <c r="D107" i="12"/>
  <c r="D106" i="12"/>
  <c r="D105" i="12"/>
  <c r="D104" i="12"/>
  <c r="D103" i="12"/>
  <c r="D102" i="12"/>
  <c r="D101" i="12"/>
  <c r="D100" i="12"/>
  <c r="C120" i="12"/>
  <c r="D119" i="12"/>
  <c r="D118" i="12"/>
  <c r="D117" i="12"/>
  <c r="D116" i="12"/>
  <c r="D115" i="12"/>
  <c r="D114" i="12"/>
  <c r="D113" i="12"/>
  <c r="D112" i="12"/>
  <c r="C132" i="12"/>
  <c r="D131" i="12"/>
  <c r="D130" i="12"/>
  <c r="D129" i="12"/>
  <c r="D128" i="12"/>
  <c r="D127" i="12"/>
  <c r="D126" i="12"/>
  <c r="D125" i="12"/>
  <c r="D124" i="12"/>
  <c r="C144" i="12"/>
  <c r="D143" i="12"/>
  <c r="D142" i="12"/>
  <c r="D141" i="12"/>
  <c r="D140" i="12"/>
  <c r="D139" i="12"/>
  <c r="D138" i="12"/>
  <c r="D137" i="12"/>
  <c r="D136" i="12"/>
  <c r="C156" i="12"/>
  <c r="D155" i="12"/>
  <c r="C168" i="12"/>
  <c r="D167" i="12"/>
  <c r="D166" i="12"/>
  <c r="D165" i="12"/>
  <c r="C180" i="12"/>
  <c r="D179" i="12"/>
  <c r="D178" i="12"/>
  <c r="D177" i="12"/>
  <c r="D176" i="12"/>
  <c r="D175" i="12"/>
  <c r="C192" i="12"/>
  <c r="D191" i="12"/>
  <c r="D190" i="12"/>
  <c r="D189" i="12"/>
  <c r="D188" i="12"/>
  <c r="C204" i="12"/>
  <c r="D203" i="12"/>
  <c r="D202" i="12"/>
  <c r="D201" i="12"/>
  <c r="D200" i="12"/>
  <c r="D199" i="12"/>
  <c r="D198" i="12"/>
  <c r="C216" i="12"/>
  <c r="D215" i="12"/>
  <c r="D214" i="12"/>
  <c r="D213" i="12"/>
  <c r="D212" i="12"/>
  <c r="D211" i="12"/>
  <c r="C228" i="12"/>
  <c r="D227" i="12"/>
  <c r="D226" i="12"/>
  <c r="D225" i="12"/>
  <c r="D224" i="12"/>
  <c r="D223" i="12"/>
  <c r="C240" i="12"/>
  <c r="D239" i="12"/>
  <c r="D238" i="12"/>
  <c r="D237" i="12"/>
  <c r="D236" i="12"/>
  <c r="D235" i="12"/>
  <c r="D234" i="12"/>
  <c r="C252" i="12"/>
  <c r="D251" i="12"/>
  <c r="D250" i="12"/>
  <c r="D249" i="12"/>
  <c r="D248" i="12"/>
  <c r="D247" i="12"/>
  <c r="D246" i="12"/>
  <c r="D245" i="12"/>
  <c r="C264" i="12"/>
  <c r="D263" i="12"/>
  <c r="D262" i="12"/>
  <c r="D261" i="12"/>
  <c r="D260" i="12"/>
  <c r="D259" i="12"/>
  <c r="C276" i="12"/>
  <c r="D275" i="12"/>
  <c r="D274" i="12"/>
  <c r="D273" i="12"/>
  <c r="D272" i="12"/>
  <c r="D271" i="12"/>
  <c r="D270" i="12"/>
  <c r="D269" i="12"/>
  <c r="C288" i="12"/>
  <c r="D287" i="12"/>
  <c r="D286" i="12"/>
  <c r="D285" i="12"/>
  <c r="D284" i="12"/>
  <c r="D283" i="12"/>
  <c r="D282" i="12"/>
  <c r="C300" i="12"/>
  <c r="D299" i="12"/>
  <c r="D298" i="12"/>
  <c r="D297" i="12"/>
  <c r="D296" i="12"/>
  <c r="D295" i="12"/>
  <c r="D294" i="12"/>
  <c r="C312" i="12"/>
  <c r="D311" i="12"/>
  <c r="D310" i="12"/>
  <c r="D309" i="12"/>
  <c r="D308" i="12"/>
  <c r="D307" i="12"/>
  <c r="C324" i="12"/>
  <c r="D323" i="12"/>
  <c r="D322" i="12"/>
  <c r="D321" i="12"/>
  <c r="C324" i="10"/>
  <c r="D323" i="10"/>
  <c r="D322" i="10"/>
  <c r="D321" i="10"/>
  <c r="C312" i="10"/>
  <c r="D311" i="10"/>
  <c r="D310" i="10"/>
  <c r="D309" i="10"/>
  <c r="D308" i="10"/>
  <c r="D307" i="10"/>
  <c r="C300" i="10"/>
  <c r="D299" i="10"/>
  <c r="D298" i="10"/>
  <c r="D297" i="10"/>
  <c r="D296" i="10"/>
  <c r="D295" i="10"/>
  <c r="C288" i="10"/>
  <c r="D287" i="10"/>
  <c r="D286" i="10"/>
  <c r="D285" i="10"/>
  <c r="D284" i="10"/>
  <c r="D283" i="10"/>
  <c r="D282" i="10"/>
  <c r="C276" i="10"/>
  <c r="D275" i="10"/>
  <c r="D274" i="10"/>
  <c r="D273" i="10"/>
  <c r="D272" i="10"/>
  <c r="C264" i="10"/>
  <c r="D263" i="10"/>
  <c r="D262" i="10"/>
  <c r="D261" i="10"/>
  <c r="D260" i="10"/>
  <c r="D259" i="10"/>
  <c r="D258" i="10"/>
  <c r="C252" i="10"/>
  <c r="D251" i="10"/>
  <c r="D250" i="10"/>
  <c r="D249" i="10"/>
  <c r="D248" i="10"/>
  <c r="D247" i="10"/>
  <c r="D246" i="10"/>
  <c r="C240" i="10"/>
  <c r="D239" i="10"/>
  <c r="D238" i="10"/>
  <c r="D237" i="10"/>
  <c r="D236" i="10"/>
  <c r="C228" i="10"/>
  <c r="D227" i="10"/>
  <c r="D226" i="10"/>
  <c r="D225" i="10"/>
  <c r="D224" i="10"/>
  <c r="D223" i="10"/>
  <c r="D222" i="10"/>
  <c r="C216" i="10"/>
  <c r="D215" i="10"/>
  <c r="D214" i="10"/>
  <c r="D213" i="10"/>
  <c r="D212" i="10"/>
  <c r="D211" i="10"/>
  <c r="C204" i="10"/>
  <c r="D203" i="10"/>
  <c r="D202" i="10"/>
  <c r="D201" i="10"/>
  <c r="D200" i="10"/>
  <c r="D199" i="10"/>
  <c r="D198" i="10"/>
  <c r="C192" i="10"/>
  <c r="D191" i="10"/>
  <c r="D190" i="10"/>
  <c r="D189" i="10"/>
  <c r="D188" i="10"/>
  <c r="C180" i="10"/>
  <c r="D179" i="10"/>
  <c r="D178" i="10"/>
  <c r="D177" i="10"/>
  <c r="D176" i="10"/>
  <c r="D175" i="10"/>
  <c r="C168" i="10"/>
  <c r="D167" i="10"/>
  <c r="D166" i="10"/>
  <c r="D165" i="10"/>
  <c r="D164" i="10"/>
  <c r="D163" i="10"/>
  <c r="C156" i="10"/>
  <c r="D155" i="10"/>
  <c r="D154" i="10"/>
  <c r="D153" i="10"/>
  <c r="D152" i="10"/>
  <c r="D151" i="10"/>
  <c r="D150" i="10"/>
  <c r="C144" i="10"/>
  <c r="D143" i="10"/>
  <c r="D142" i="10"/>
  <c r="D141" i="10"/>
  <c r="D140" i="10"/>
  <c r="D139" i="10"/>
  <c r="C132" i="10"/>
  <c r="D131" i="10"/>
  <c r="D130" i="10"/>
  <c r="D129" i="10"/>
  <c r="D128" i="10"/>
  <c r="D127" i="10"/>
  <c r="C120" i="10"/>
  <c r="D119" i="10"/>
  <c r="D118" i="10"/>
  <c r="D117" i="10"/>
  <c r="D116" i="10"/>
  <c r="D115" i="10"/>
  <c r="D114" i="10"/>
  <c r="C108" i="10"/>
  <c r="D107" i="10"/>
  <c r="D106" i="10"/>
  <c r="D105" i="10"/>
  <c r="D104" i="10"/>
  <c r="D103" i="10"/>
  <c r="C96" i="10"/>
  <c r="D95" i="10"/>
  <c r="D94" i="10"/>
  <c r="D93" i="10"/>
  <c r="D92" i="10"/>
  <c r="C84" i="10"/>
  <c r="D83" i="10"/>
  <c r="D82" i="10"/>
  <c r="D81" i="10"/>
  <c r="D80" i="10"/>
  <c r="C72" i="10"/>
  <c r="D71" i="10"/>
  <c r="D70" i="10"/>
  <c r="D69" i="10"/>
  <c r="D68" i="10"/>
  <c r="D67" i="10"/>
  <c r="D66" i="10"/>
  <c r="C60" i="10"/>
  <c r="D59" i="10"/>
  <c r="D58" i="10"/>
  <c r="D57" i="10"/>
  <c r="D56" i="10"/>
  <c r="D55" i="10"/>
  <c r="D54" i="10"/>
  <c r="C48" i="10"/>
  <c r="D47" i="10"/>
  <c r="D46" i="10"/>
  <c r="D45" i="10"/>
  <c r="D44" i="10"/>
  <c r="D43" i="10"/>
  <c r="C36" i="10"/>
  <c r="D35" i="10"/>
  <c r="D34" i="10"/>
  <c r="D33" i="10"/>
  <c r="D32" i="10"/>
  <c r="D31" i="10"/>
  <c r="D30" i="10"/>
  <c r="D29" i="10"/>
  <c r="C24" i="10"/>
  <c r="D23" i="10"/>
  <c r="D22" i="10"/>
  <c r="D21" i="10"/>
  <c r="D20" i="10"/>
  <c r="D19" i="10"/>
  <c r="C12" i="10"/>
  <c r="D11" i="10"/>
  <c r="D10" i="10"/>
  <c r="D9" i="10"/>
  <c r="D8" i="10"/>
  <c r="D7" i="10"/>
  <c r="D6" i="10"/>
  <c r="D3" i="15"/>
  <c r="D4" i="15"/>
  <c r="D5" i="15"/>
  <c r="D6" i="15"/>
  <c r="D7" i="15"/>
  <c r="D8" i="15"/>
  <c r="D9" i="15"/>
  <c r="D10" i="15"/>
  <c r="C11" i="15"/>
  <c r="D10" i="16"/>
  <c r="D9" i="16"/>
  <c r="D8" i="16"/>
  <c r="D7" i="16"/>
  <c r="D6" i="16"/>
  <c r="D5" i="16"/>
  <c r="D4" i="16"/>
  <c r="D3" i="16"/>
  <c r="C11" i="16"/>
  <c r="D164" i="12"/>
  <c r="D154" i="12"/>
  <c r="D153" i="12"/>
  <c r="D152" i="12"/>
  <c r="D42" i="10"/>
  <c r="D88" i="10"/>
  <c r="D41" i="10"/>
  <c r="D60" i="10"/>
  <c r="D184" i="10"/>
  <c r="D240" i="12"/>
  <c r="D293" i="12"/>
  <c r="D197" i="12"/>
  <c r="D85" i="1"/>
  <c r="D45" i="1"/>
  <c r="D86" i="1"/>
  <c r="D46" i="1"/>
  <c r="D90" i="10"/>
  <c r="D174" i="12"/>
  <c r="D32" i="1"/>
  <c r="D17" i="10"/>
  <c r="D221" i="10"/>
  <c r="D269" i="10"/>
  <c r="D5" i="10"/>
  <c r="D160" i="10"/>
  <c r="D173" i="12"/>
  <c r="D29" i="1"/>
  <c r="D67" i="1"/>
  <c r="D324" i="12"/>
  <c r="D15" i="1"/>
  <c r="D232" i="10"/>
  <c r="D12" i="12"/>
  <c r="D305" i="10"/>
  <c r="D304" i="10"/>
  <c r="D204" i="10"/>
  <c r="D12" i="10"/>
  <c r="D187" i="10"/>
  <c r="D244" i="12"/>
  <c r="D220" i="12"/>
  <c r="D204" i="12"/>
  <c r="D83" i="1"/>
  <c r="D43" i="1"/>
  <c r="D84" i="1"/>
  <c r="D44" i="1"/>
  <c r="D244" i="10"/>
  <c r="D18" i="10"/>
  <c r="D64" i="10"/>
  <c r="D137" i="10"/>
  <c r="D240" i="10"/>
  <c r="D292" i="12"/>
  <c r="D312" i="12"/>
  <c r="D196" i="12"/>
  <c r="D81" i="1"/>
  <c r="D41" i="1"/>
  <c r="D82" i="1"/>
  <c r="D42" i="1"/>
  <c r="D39" i="1"/>
  <c r="D80" i="1"/>
  <c r="D40" i="1"/>
  <c r="D78" i="1"/>
  <c r="D172" i="10"/>
  <c r="D71" i="1"/>
  <c r="D276" i="12"/>
  <c r="D136" i="10"/>
  <c r="D196" i="10"/>
  <c r="D96" i="12"/>
  <c r="D68" i="1"/>
  <c r="D185" i="12"/>
  <c r="D93" i="1"/>
  <c r="D184" i="12"/>
  <c r="D113" i="10"/>
  <c r="D324" i="10"/>
  <c r="D79" i="10"/>
  <c r="D100" i="10"/>
  <c r="D53" i="10"/>
  <c r="D257" i="12"/>
  <c r="D221" i="12"/>
  <c r="D210" i="12"/>
  <c r="D79" i="1"/>
  <c r="D124" i="10"/>
  <c r="D320" i="10"/>
  <c r="D264" i="10"/>
  <c r="D256" i="12"/>
  <c r="D72" i="1"/>
  <c r="D317" i="12"/>
  <c r="D30" i="1"/>
  <c r="D77" i="10"/>
  <c r="D233" i="10"/>
  <c r="D180" i="12"/>
  <c r="D28" i="1"/>
  <c r="D11" i="15"/>
  <c r="D53" i="1"/>
  <c r="D91" i="1"/>
  <c r="D112" i="10"/>
  <c r="D216" i="10"/>
  <c r="D96" i="10"/>
  <c r="D316" i="10"/>
  <c r="D173" i="10"/>
  <c r="D60" i="12"/>
  <c r="D304" i="12"/>
  <c r="D209" i="12"/>
  <c r="D77" i="1"/>
  <c r="D37" i="1"/>
  <c r="D38" i="1"/>
  <c r="D16" i="10"/>
  <c r="D31" i="1"/>
  <c r="D40" i="10"/>
  <c r="D228" i="10"/>
  <c r="D318" i="10"/>
  <c r="D89" i="10"/>
  <c r="D174" i="10"/>
  <c r="D132" i="12"/>
  <c r="D319" i="12"/>
  <c r="D216" i="12"/>
  <c r="D75" i="1"/>
  <c r="D35" i="1"/>
  <c r="D76" i="1"/>
  <c r="D36" i="1"/>
  <c r="D34" i="1"/>
  <c r="D280" i="10"/>
  <c r="D69" i="1"/>
  <c r="D120" i="10"/>
  <c r="D280" i="12"/>
  <c r="D300" i="10"/>
  <c r="D319" i="10"/>
  <c r="D256" i="10"/>
  <c r="D84" i="10"/>
  <c r="D234" i="10"/>
  <c r="D180" i="10"/>
  <c r="D281" i="12"/>
  <c r="D84" i="12"/>
  <c r="D172" i="12"/>
  <c r="D73" i="1"/>
  <c r="D33" i="1"/>
  <c r="D74" i="1"/>
  <c r="D252" i="12"/>
  <c r="D70" i="1"/>
  <c r="D161" i="10"/>
  <c r="D27" i="1"/>
  <c r="D168" i="12"/>
  <c r="D56" i="1"/>
  <c r="D149" i="10"/>
  <c r="D192" i="10"/>
  <c r="D220" i="10"/>
  <c r="D197" i="10"/>
  <c r="D148" i="10"/>
  <c r="D132" i="10"/>
  <c r="D168" i="10"/>
  <c r="D300" i="12"/>
  <c r="D318" i="12"/>
  <c r="D160" i="12"/>
  <c r="D65" i="1"/>
  <c r="D25" i="1"/>
  <c r="D66" i="1"/>
  <c r="D26" i="1"/>
  <c r="D21" i="1"/>
  <c r="D22" i="1"/>
  <c r="D288" i="10"/>
  <c r="D271" i="10"/>
  <c r="D24" i="10"/>
  <c r="D288" i="12"/>
  <c r="D161" i="12"/>
  <c r="D59" i="1"/>
  <c r="D60" i="1"/>
  <c r="D20" i="1"/>
  <c r="D126" i="10"/>
  <c r="D257" i="10"/>
  <c r="D76" i="10"/>
  <c r="D294" i="10"/>
  <c r="D317" i="10"/>
  <c r="D48" i="12"/>
  <c r="D163" i="12"/>
  <c r="D17" i="1"/>
  <c r="D306" i="10"/>
  <c r="D125" i="10"/>
  <c r="D232" i="12"/>
  <c r="D16" i="1"/>
  <c r="D51" i="1"/>
  <c r="D276" i="10"/>
  <c r="D208" i="10"/>
  <c r="D270" i="10"/>
  <c r="D52" i="10"/>
  <c r="D102" i="10"/>
  <c r="D187" i="12"/>
  <c r="D264" i="12"/>
  <c r="D144" i="12"/>
  <c r="D162" i="12"/>
  <c r="D63" i="1"/>
  <c r="D23" i="1"/>
  <c r="D64" i="1"/>
  <c r="D24" i="1"/>
  <c r="D62" i="1"/>
  <c r="D252" i="10"/>
  <c r="D293" i="10"/>
  <c r="D233" i="12"/>
  <c r="D55" i="1"/>
  <c r="D245" i="10"/>
  <c r="D156" i="10"/>
  <c r="D101" i="10"/>
  <c r="D268" i="12"/>
  <c r="D92" i="1"/>
  <c r="D138" i="10"/>
  <c r="D312" i="10"/>
  <c r="D48" i="10"/>
  <c r="D186" i="10"/>
  <c r="D78" i="10"/>
  <c r="D24" i="12"/>
  <c r="D306" i="12"/>
  <c r="D72" i="12"/>
  <c r="D61" i="1"/>
  <c r="D120" i="12"/>
  <c r="D11" i="16"/>
  <c r="D258" i="12"/>
  <c r="D19" i="1"/>
  <c r="D222" i="12"/>
  <c r="D228" i="12"/>
  <c r="D57" i="1"/>
  <c r="D58" i="1"/>
  <c r="D18" i="1"/>
  <c r="D144" i="10"/>
  <c r="D4" i="10"/>
  <c r="D91" i="10"/>
  <c r="D208" i="12"/>
  <c r="D209" i="10"/>
  <c r="D72" i="10"/>
  <c r="D210" i="10"/>
  <c r="D36" i="12"/>
  <c r="D94" i="1"/>
  <c r="D54" i="1"/>
  <c r="D36" i="10"/>
  <c r="D292" i="10"/>
  <c r="D162" i="10"/>
  <c r="D268" i="10"/>
  <c r="D28" i="10"/>
  <c r="D320" i="12"/>
  <c r="D316" i="12"/>
  <c r="D186" i="12"/>
  <c r="D89" i="1"/>
  <c r="D49" i="1"/>
  <c r="D90" i="1"/>
  <c r="D50" i="1"/>
  <c r="D148" i="12"/>
  <c r="D185" i="10"/>
  <c r="D65" i="10"/>
  <c r="D281" i="10"/>
  <c r="D108" i="10"/>
  <c r="D235" i="10"/>
  <c r="D108" i="12"/>
  <c r="D305" i="12"/>
  <c r="D192" i="12"/>
  <c r="D87" i="1"/>
  <c r="D47" i="1"/>
  <c r="D88" i="1"/>
  <c r="D48" i="1"/>
  <c r="D156" i="12"/>
  <c r="D52"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<sst xmlns="http://schemas.openxmlformats.org/spreadsheetml/2006/main" count="1104" uniqueCount="161">
  <si>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</si>
  <si>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</si>
  <si>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</si>
  <si>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</si>
  <si>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</si>
  <si>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</si>
  <si>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</si>
  <si>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</si>
  <si>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</si>
  <si>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</si>
  <si>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</si>
  <si>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</si>
  <si>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</si>
  <si>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</si>
  <si>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</si>
  <si>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</si>
  <si>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</si>
  <si>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</si>
  <si>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</si>
  <si>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</si>
  <si>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</si>
  <si>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</si>
  <si>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</si>
  <si>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</si>
  <si>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</si>
  <si>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</si>
  <si>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</si>
  <si>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</si>
  <si>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</si>
  <si>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</si>
  <si>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</si>
  <si>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</si>
  <si>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</si>
  <si>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</si>
  <si>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</si>
  <si>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</si>
  <si>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</si>
  <si>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</si>
  <si>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</si>
  <si>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</si>
  <si>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</si>
  <si>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 xml:space="preserve">Absences - Imprévus </t>
  </si>
  <si>
    <t>Analyse - Analyse du CDC</t>
  </si>
  <si>
    <t>Analyse - MCD/MLD/MPD</t>
  </si>
  <si>
    <t>Backend - CRUD movies</t>
  </si>
  <si>
    <t>Backend - CRUD quotes</t>
  </si>
  <si>
    <t>Backend - Détails/revue et finalistations</t>
  </si>
  <si>
    <t>Backend - Gestion auth/users</t>
  </si>
  <si>
    <t>Backend - gestion des erreurs</t>
  </si>
  <si>
    <t>Backend - Gestion profil</t>
  </si>
  <si>
    <t>Backend - Initialisation structure Laravel</t>
  </si>
  <si>
    <t>Backend - Migrations/Seeders</t>
  </si>
  <si>
    <t>Backend - Rôles et accès</t>
  </si>
  <si>
    <t>Backend - Sécurité</t>
  </si>
  <si>
    <t>Backend - Système de recherche</t>
  </si>
  <si>
    <t>Déploiement - Azure DB</t>
  </si>
  <si>
    <t>Déploiement - Azure Static Web App (Frontend)</t>
  </si>
  <si>
    <t>Déploiement - Azure Web App (Backend)</t>
  </si>
  <si>
    <t>Déploiement - Finalisation/bugfix workflow &amp; CI/CD</t>
  </si>
  <si>
    <t>Doc - Revue du rapport</t>
  </si>
  <si>
    <t>Entretien avec chef de projet</t>
  </si>
  <si>
    <t>Entretien initial expert 1</t>
  </si>
  <si>
    <t>Frontend - Bases des pages principales</t>
  </si>
  <si>
    <t>Frontend - Détails/revue et finalisastions</t>
  </si>
  <si>
    <t>Frontend - gestion des erreurs</t>
  </si>
  <si>
    <t>Frontend - Initialisation structure Angular</t>
  </si>
  <si>
    <t>Frontend - Interfaces admin / Gestion profil</t>
  </si>
  <si>
    <t>Frontend - interfaces CRUD (films, citations etc)</t>
  </si>
  <si>
    <t>Frontend - Login/Signup</t>
  </si>
  <si>
    <t>Frontend - Page d'accueil</t>
  </si>
  <si>
    <t>Initialisation repo Github</t>
  </si>
  <si>
    <t>Préparation livrable et envoi final</t>
  </si>
  <si>
    <t>Test - Unitaire &amp; Intégration</t>
  </si>
  <si>
    <t>UX/UI - Maquettes FIGMA / Charte graphique</t>
  </si>
  <si>
    <t>Visite expert 2</t>
  </si>
  <si>
    <t>Matin (&lt;9h35)</t>
  </si>
  <si>
    <t>Après-midi</t>
  </si>
  <si>
    <t>Matin</t>
  </si>
  <si>
    <t>La date n'est pas exacte car nous ne savons pas quand la visite aura lieu, je la place donc ici à priori</t>
  </si>
  <si>
    <t>Séquence 27</t>
  </si>
  <si>
    <t>lundi, 1 juin 2026</t>
  </si>
  <si>
    <t>Séquence 26</t>
  </si>
  <si>
    <t>vendredi, 29 mai 2026</t>
  </si>
  <si>
    <t>Séquence 25</t>
  </si>
  <si>
    <t>Séquence 24</t>
  </si>
  <si>
    <t>jeudi, 28 mai 2026</t>
  </si>
  <si>
    <t>Séquence 23</t>
  </si>
  <si>
    <t>Séquence 22</t>
  </si>
  <si>
    <t>mercredi, 27 mai 2026</t>
  </si>
  <si>
    <t>Séquence 21</t>
  </si>
  <si>
    <t>Séquence 20</t>
  </si>
  <si>
    <t>vendredi, 22 mai 2026</t>
  </si>
  <si>
    <t>Séquence 19</t>
  </si>
  <si>
    <t>Séquence 18</t>
  </si>
  <si>
    <t>jeudi, 21 mai 2026</t>
  </si>
  <si>
    <t>Séquence 17</t>
  </si>
  <si>
    <t>Séquence 16</t>
  </si>
  <si>
    <t>mercredi, 20 mai 2026</t>
  </si>
  <si>
    <t>Séquence 15</t>
  </si>
  <si>
    <t>Séquence 14</t>
  </si>
  <si>
    <t>lundi, 18 mai 2026</t>
  </si>
  <si>
    <t>Séquence 13</t>
  </si>
  <si>
    <t>Séquence 12</t>
  </si>
  <si>
    <t>mercredi, 13 mai 2026</t>
  </si>
  <si>
    <t>Séquence 11</t>
  </si>
  <si>
    <t>Séquence 10</t>
  </si>
  <si>
    <t>lundi, 11 mai 2026</t>
  </si>
  <si>
    <t>Séquence 9</t>
  </si>
  <si>
    <t>Séquence 8</t>
  </si>
  <si>
    <t>vendredi, 8 mai 2026</t>
  </si>
  <si>
    <t>Séquence 7</t>
  </si>
  <si>
    <t>Séquence 6</t>
  </si>
  <si>
    <t>jeudi, 7 mai 2026</t>
  </si>
  <si>
    <t>Séquence 5</t>
  </si>
  <si>
    <t>Séquence 4</t>
  </si>
  <si>
    <t>mercredi, 6 mai 2026</t>
  </si>
  <si>
    <t>lundi, 4 mai 2026</t>
  </si>
  <si>
    <t>90h</t>
  </si>
  <si>
    <t>Cyril Napoleone</t>
  </si>
  <si>
    <t>TPI - GestionCitations</t>
  </si>
  <si>
    <t>A23</t>
  </si>
  <si>
    <t>ETML - Vennes</t>
  </si>
  <si>
    <t>Du 04.05.2026 au 01.06.2026</t>
  </si>
  <si>
    <t>Commencement de la plannif initiale du projet par la création de toutes les tâches nécessaires à à la complétion du projet</t>
  </si>
  <si>
    <t>Initialisation simple du repo avec les fichiers de base de doc inclus (/doc). (ainsi que le initial commit)</t>
  </si>
  <si>
    <t>Discussion avec mon chef de projet après l'entretien avec l'expert pour discuter de mes potentiels questions</t>
  </si>
  <si>
    <t>Lecture appronfondie du CDC et prise en compte de celui-ci</t>
  </si>
  <si>
    <t>Entretien avec M. Oberson pour commencement et présentation de ce TPI</t>
  </si>
  <si>
    <t>Inscription de cette première journée de TPI</t>
  </si>
  <si>
    <t>Remplissage de la plannif concrète jour par jour (petite perte de temps dû à la non-considération des "5min" entre chaques périodes mais rien de grave, problème résolu)</t>
  </si>
  <si>
    <t>Revue et discussion du JDT avec M. Sonney</t>
  </si>
  <si>
    <t>Création des modelisations MCD/MLD avec Looping puis création du code SQL pour un rendu MPD via phpmyadmin</t>
  </si>
  <si>
    <t>Commencement du rapport (premières parties, intro, contexte, scopes etc)</t>
  </si>
  <si>
    <t>Continuation du rapport (points mentionnés dans la matinée ci-dessous)</t>
  </si>
  <si>
    <t>Je réalise une bonne partie de ce qui est faisable dans le rapport sans développement. J'avais pas prévu de prendre autant de temps dès le début pour ça mais ça n'embrouillera pas la suite car c'est du temps que je ne prendrai pas sur la fin du TPI.</t>
  </si>
  <si>
    <t>Continuation comme en matinée de ce jour, les sections qui ont été commencées/faites aujourd'hui sont : Contexte et mandat, Méthode et organisation, Analyse des exigences, Gestion des risques et mesures (avec leurs sous sections)</t>
  </si>
  <si>
    <t>Commencement du fichier figma, initialisation, formats de base, nombres de pages et reflexion/preparation pour entamer les maquettes le lendemain</t>
  </si>
  <si>
    <t>Réalisation de la maquette de chaque page qui figurera sur l'app. En moyenne-haute fidelité (haut fidelité sur la structure et basse sur le contenu)</t>
  </si>
  <si>
    <t>Continuation et finalisation des maquettes FIGMA, qui me prennent + de temps que prévu dû à la fidelité plus haute que prévu que je réalise ainsi que le nombre de pages</t>
  </si>
  <si>
    <t>Finalisation FIGMA et liens "prototype" pour fonctionnalité. Lien FIGMA : https://www.figma.com/design/bMsktNS29r9i1xJe26PwEE/GestionCitations?node-id=0-1&amp;t=Q1gtZoWngqbnM5CO-1</t>
  </si>
  <si>
    <t>Commencement du point 1.5 du rapport car maquettes finies, je réalise pour ce point des maquettes de fonctionnement du système avec Mermaid que j'intègre au rapport</t>
  </si>
  <si>
    <t>Finalisation de ce que je pouvais faire de manière sûre pour la partie conception, il reste des points à embellir/compléter pour plus tard.</t>
  </si>
  <si>
    <t>Création des migrations laravel en se basant sur le script SQL que j'avais fait. Création des seeders pour les quelques données de base, Création également des modèles Eloquent avec fillable &amp; relations pour les 3 tables</t>
  </si>
  <si>
    <t>Mise en place de base de la structure du projet laravel, avec des prises de notes pour la rédaction du rapport plus tard sur le processus que j'ai utilisé. Le backend tourne et est près pour la suite</t>
  </si>
  <si>
    <t>Système d'authentification via sessions laravel. Controller d'authentification, 2 formrequests (login/signup), création du fichier de routes api et ajout des premieres routes auth. Donc login signup logout et /me. Donc je n'utilise pas Laravel sanctum</t>
  </si>
  <si>
    <t xml:space="preserve">Création du controlleur movie et des formrequests nécessaires pour l'instant. Routes publiques et routes authentifiées via middlewares laravel "web" et "auth:web" </t>
  </si>
  <si>
    <t>Controlleur quotes et formrequests etc comme pour movies</t>
  </si>
  <si>
    <t>Commencement de l'ajout des routes admin avec les méthodes dans les différents controller, et création d'un middleware qui check le role du user authentifié</t>
  </si>
  <si>
    <t>Finalisation de l'ajoute des routes admin (modif et delete) avec middleware</t>
  </si>
  <si>
    <t>Routes de gestion de profile (username, password) avec formrequests</t>
  </si>
  <si>
    <t>Route de recherche de citations et films en un</t>
  </si>
  <si>
    <t>Je gérai déjà assez bien les erreurs finalement (+ que prévu) mais donc je me suis renseigné si je pouvais centralisé et normaliser à ma guise les erreurs j'ai donc utiliser ceci : https://laravel.com/docs/12.x/errors#rendering-exceptions. J'ai fais 401 404 et 500 et je verrai si nécessaire d'en faire d'autres plus tards lors des tests des erreurs etc.</t>
  </si>
  <si>
    <t>Revue du code existant niveau sécurité et c'est déjà pas mal donc pas  grand-chose à adapter, je suis déjà protégé des injections grâce à mon utilisation de laravel qui ne manipule jamais de raw en terme d'input (pas de DB::raw, whereRaw ou autre) donc rien n'est interprété comme de l'SQL executable. Je n'ai pas trouvé de failles niveau authentification/admin, les règles de droits sont respsectées à priori également. les données sensibles ne sont pas exposées à des endroits où ils ne devraient pas. J'ai ajouté de la complexité sur la validation des mots de passe (avec un min:8) j'embellirai ça si j'ai le temps plus tard</t>
  </si>
  <si>
    <t>42h 5 min</t>
  </si>
  <si>
    <t>- 47h 55 min</t>
  </si>
  <si>
    <t>J'ai fais une breve revue de mon code puis créée une collection bruno avec plusieurs call api de test (avec un stockage du token CSRF pour les requêtes via un script bruno que chatgpt m'a donné car je savais pas comment ça marche à ce niveau)</t>
  </si>
  <si>
    <t>J'enlève les handleurs d'erreur que j'avais fait lundi dans app.php temporairement car le handle de throwable faisait que des erreurs tombaient dedans et donc 0 détail, donc soit j'enlève (à voir si par défaut c'est bien ce que je souhaite) ou alors je handle vraiment toutes les erreurs mais en tout cas je verrai lors des tests de l'app)</t>
  </si>
  <si>
    <t>Visite de M Pantic pour faire le point</t>
  </si>
  <si>
    <t>Surtout prises de notes sur le backend comment ça s'est passé etc pour préparer l'écriture de la section dans le rapport.</t>
  </si>
  <si>
    <t>https://laravel.com/docs/12.x/errors#rendering-exceptions</t>
  </si>
  <si>
    <t>Revue du backend avant de passer au frontend, pas de changements trouvés à faire.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</si>
</sst>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22" xfId="0" applyFont="1" applyFill="1" applyBorder="1"/>
    <xf numFmtId="0" fontId="2" fillId="20" borderId="57"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5"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4" xfId="0" applyFont="1" applyFill="1" applyBorder="1"/>
    <xf numFmtId="0" fontId="2" fillId="21" borderId="28" xfId="0" applyFont="1" applyFill="1" applyBorder="1"/>
    <xf numFmtId="0" fontId="2" fillId="21" borderId="56" xfId="0" applyFont="1" applyFill="1" applyBorder="1"/>
    <xf numFmtId="0" fontId="2" fillId="21" borderId="27" xfId="0" applyFont="1" applyFill="1" applyBorder="1"/>
    <xf numFmtId="0" fontId="2" fillId="21" borderId="73" xfId="0" applyFont="1" applyFill="1" applyBorder="1"/>
    <xf numFmtId="0" fontId="2" fillId="21" borderId="78" xfId="0" applyFont="1" applyFill="1" applyBorder="1"/>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14" fontId="18" fillId="0" borderId="5" xfId="0" applyNumberFormat="1" applyFont="1"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B6E-4F42-A980-7B1735D741ED}"/>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B6E-4F42-A980-7B1735D741E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B6E-4F42-A980-7B1735D741ED}"/>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B6E-4F42-A980-7B1735D741ED}"/>
                </c:ext>
              </c:extLst>
            </c:dLbl>
            <c:dLbl>
              <c:idx val="6"/>
              <c:tx>
                <c:rich>
                  <a:bodyPr/>
                  <a:lstStyle/>
                  <a:p>
                    <a:r>
                      <a:rPr lang="en-US"/>
                      <a:t>4h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B6E-4F42-A980-7B1735D741ED}"/>
                </c:ext>
              </c:extLst>
            </c:dLbl>
            <c:dLbl>
              <c:idx val="7"/>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B6E-4F42-A980-7B1735D741ED}"/>
                </c:ext>
              </c:extLst>
            </c:dLbl>
            <c:dLbl>
              <c:idx val="8"/>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B6E-4F42-A980-7B1735D741ED}"/>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B6E-4F42-A980-7B1735D741ED}"/>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B6E-4F42-A980-7B1735D741ED}"/>
                </c:ext>
              </c:extLst>
            </c:dLbl>
            <c:dLbl>
              <c:idx val="11"/>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B6E-4F42-A980-7B1735D741ED}"/>
                </c:ext>
              </c:extLst>
            </c:dLbl>
            <c:dLbl>
              <c:idx val="12"/>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B6E-4F42-A980-7B1735D741ED}"/>
                </c:ext>
              </c:extLst>
            </c:dLbl>
            <c:dLbl>
              <c:idx val="13"/>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B6E-4F42-A980-7B1735D741ED}"/>
                </c:ext>
              </c:extLst>
            </c:dLbl>
            <c:dLbl>
              <c:idx val="14"/>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B6E-4F42-A980-7B1735D741ED}"/>
                </c:ext>
              </c:extLst>
            </c:dLbl>
            <c:dLbl>
              <c:idx val="15"/>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B6E-4F42-A980-7B1735D741ED}"/>
                </c:ext>
              </c:extLst>
            </c:dLbl>
            <c:dLbl>
              <c:idx val="16"/>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B6E-4F42-A980-7B1735D741ED}"/>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B6E-4F42-A980-7B1735D741ED}"/>
                </c:ext>
              </c:extLst>
            </c:dLbl>
            <c:dLbl>
              <c:idx val="1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B6E-4F42-A980-7B1735D741ED}"/>
                </c:ext>
              </c:extLst>
            </c:dLbl>
            <c:dLbl>
              <c:idx val="19"/>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B6E-4F42-A980-7B1735D741ED}"/>
                </c:ext>
              </c:extLst>
            </c:dLbl>
            <c:dLbl>
              <c:idx val="20"/>
              <c:tx>
                <c:rich>
                  <a:bodyPr/>
                  <a:lstStyle/>
                  <a:p>
                    <a:r>
                      <a:rPr lang="en-US"/>
                      <a:t>16h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B6E-4F42-A980-7B1735D741ED}"/>
                </c:ext>
              </c:extLst>
            </c:dLbl>
            <c:dLbl>
              <c:idx val="2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B6E-4F42-A980-7B1735D741ED}"/>
                </c:ext>
              </c:extLst>
            </c:dLbl>
            <c:dLbl>
              <c:idx val="2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B6E-4F42-A980-7B1735D741ED}"/>
                </c:ext>
              </c:extLst>
            </c:dLbl>
            <c:dLbl>
              <c:idx val="23"/>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B6E-4F42-A980-7B1735D741ED}"/>
                </c:ext>
              </c:extLst>
            </c:dLbl>
            <c:dLbl>
              <c:idx val="2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B6E-4F42-A980-7B1735D741ED}"/>
                </c:ext>
              </c:extLst>
            </c:dLbl>
            <c:dLbl>
              <c:idx val="25"/>
              <c:tx>
                <c:rich>
                  <a:bodyPr/>
                  <a:lstStyle/>
                  <a:p>
                    <a:r>
                      <a:rPr lang="en-US"/>
                      <a:t>5h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B6E-4F42-A980-7B1735D741ED}"/>
                </c:ext>
              </c:extLst>
            </c:dLbl>
            <c:dLbl>
              <c:idx val="2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B6E-4F42-A980-7B1735D741ED}"/>
                </c:ext>
              </c:extLst>
            </c:dLbl>
            <c:dLbl>
              <c:idx val="2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2B6E-4F42-A980-7B1735D741ED}"/>
                </c:ext>
              </c:extLst>
            </c:dLbl>
            <c:dLbl>
              <c:idx val="2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2B6E-4F42-A980-7B1735D741ED}"/>
                </c:ext>
              </c:extLst>
            </c:dLbl>
            <c:dLbl>
              <c:idx val="29"/>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2B6E-4F42-A980-7B1735D741ED}"/>
                </c:ext>
              </c:extLst>
            </c:dLbl>
            <c:dLbl>
              <c:idx val="3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2B6E-4F42-A980-7B1735D741ED}"/>
                </c:ext>
              </c:extLst>
            </c:dLbl>
            <c:dLbl>
              <c:idx val="3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CE-4AF8-A55A-BE54E101D60B}"/>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2B6E-4F42-A980-7B1735D741ED}"/>
                </c:ext>
              </c:extLst>
            </c:dLbl>
            <c:dLbl>
              <c:idx val="3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2B6E-4F42-A980-7B1735D741ED}"/>
                </c:ext>
              </c:extLst>
            </c:dLbl>
            <c:dLbl>
              <c:idx val="34"/>
              <c:tx>
                <c:rich>
                  <a:bodyPr/>
                  <a:lstStyle/>
                  <a:p>
                    <a:r>
                      <a:rPr lang="en-US"/>
                      <a:t>3h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2B6E-4F42-A980-7B1735D741ED}"/>
                </c:ext>
              </c:extLst>
            </c:dLbl>
            <c:dLbl>
              <c:idx val="35"/>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2B6E-4F42-A980-7B1735D741ED}"/>
                </c:ext>
              </c:extLst>
            </c:dLbl>
            <c:dLbl>
              <c:idx val="36"/>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2B6E-4F42-A980-7B1735D741ED}"/>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7"/>
              <c:pt idx="0">
                <c:v>Absences - Imprévus </c:v>
              </c:pt>
              <c:pt idx="1">
                <c:v>Analyse - Analyse du CDC</c:v>
              </c:pt>
              <c:pt idx="2">
                <c:v>Analyse - MCD/MLD/MPD</c:v>
              </c:pt>
              <c:pt idx="3">
                <c:v>Analyse - Planification initiale</c:v>
              </c:pt>
              <c:pt idx="4">
                <c:v>Backend - CRUD movies</c:v>
              </c:pt>
              <c:pt idx="5">
                <c:v>Backend - CRUD quotes</c:v>
              </c:pt>
              <c:pt idx="6">
                <c:v>Backend - Détails/revue et finalistations</c:v>
              </c:pt>
              <c:pt idx="7">
                <c:v>Backend - Gestion auth/users</c:v>
              </c:pt>
              <c:pt idx="8">
                <c:v>Backend - gestion des erreurs</c:v>
              </c:pt>
              <c:pt idx="9">
                <c:v>Backend - Gestion profil</c:v>
              </c:pt>
              <c:pt idx="10">
                <c:v>Backend - Initialisation structure Laravel</c:v>
              </c:pt>
              <c:pt idx="11">
                <c:v>Backend - Migrations/Seeders</c:v>
              </c:pt>
              <c:pt idx="12">
                <c:v>Backend - Rôles et accès</c:v>
              </c:pt>
              <c:pt idx="13">
                <c:v>Backend - Sécurité</c:v>
              </c:pt>
              <c:pt idx="14">
                <c:v>Backend - Système de recherche</c:v>
              </c:pt>
              <c:pt idx="15">
                <c:v>Déploiement - Azure DB</c:v>
              </c:pt>
              <c:pt idx="16">
                <c:v>Déploiement - Azure Static Web App (Frontend)</c:v>
              </c:pt>
              <c:pt idx="17">
                <c:v>Déploiement - Azure Web App (Backend)</c:v>
              </c:pt>
              <c:pt idx="18">
                <c:v>Déploiement - Finalisation/bugfix workflow &amp; CI/CD</c:v>
              </c:pt>
              <c:pt idx="19">
                <c:v>Doc - Journal de travail</c:v>
              </c:pt>
              <c:pt idx="20">
                <c:v>Doc - Rapport</c:v>
              </c:pt>
              <c:pt idx="21">
                <c:v>Doc - Revue du rapport</c:v>
              </c:pt>
              <c:pt idx="22">
                <c:v>Entretien avec chef de projet</c:v>
              </c:pt>
              <c:pt idx="23">
                <c:v>Entretien initial expert 1</c:v>
              </c:pt>
              <c:pt idx="24">
                <c:v>Frontend - Bases des pages principales</c:v>
              </c:pt>
              <c:pt idx="25">
                <c:v>Frontend - Détails/revue et finalisastions</c:v>
              </c:pt>
              <c:pt idx="26">
                <c:v>Frontend - gestion des erreurs</c:v>
              </c:pt>
              <c:pt idx="27">
                <c:v>Frontend - Initialisation structure Angular</c:v>
              </c:pt>
              <c:pt idx="28">
                <c:v>Frontend - Interfaces admin / Gestion profil</c:v>
              </c:pt>
              <c:pt idx="29">
                <c:v>Frontend - interfaces CRUD (films, citations etc)</c:v>
              </c:pt>
              <c:pt idx="30">
                <c:v>Frontend - Login/Signup</c:v>
              </c:pt>
              <c:pt idx="31">
                <c:v>Frontend - Page d'accueil</c:v>
              </c:pt>
              <c:pt idx="32">
                <c:v>Initialisation repo Github</c:v>
              </c:pt>
              <c:pt idx="33">
                <c:v>Préparation livrable et envoi final</c:v>
              </c:pt>
              <c:pt idx="34">
                <c:v>Test - Unitaire &amp; Intégration</c:v>
              </c:pt>
              <c:pt idx="35">
                <c:v>UX/UI - Maquettes FIGMA / Charte graphique</c:v>
              </c:pt>
              <c:pt idx="36">
                <c:v>Visite expert 2</c:v>
              </c:pt>
            </c:strLit>
          </c:cat>
          <c:val>
            <c:numLit>
              <c:formatCode>General</c:formatCode>
              <c:ptCount val="37"/>
              <c:pt idx="0">
                <c:v>0</c:v>
              </c:pt>
              <c:pt idx="1">
                <c:v>6</c:v>
              </c:pt>
              <c:pt idx="2">
                <c:v>27</c:v>
              </c:pt>
              <c:pt idx="3">
                <c:v>37</c:v>
              </c:pt>
              <c:pt idx="4">
                <c:v>18</c:v>
              </c:pt>
              <c:pt idx="5">
                <c:v>17</c:v>
              </c:pt>
              <c:pt idx="6">
                <c:v>52</c:v>
              </c:pt>
              <c:pt idx="7">
                <c:v>49</c:v>
              </c:pt>
              <c:pt idx="8">
                <c:v>24</c:v>
              </c:pt>
              <c:pt idx="9">
                <c:v>38</c:v>
              </c:pt>
              <c:pt idx="10">
                <c:v>6</c:v>
              </c:pt>
              <c:pt idx="11">
                <c:v>18</c:v>
              </c:pt>
              <c:pt idx="12">
                <c:v>32</c:v>
              </c:pt>
              <c:pt idx="13">
                <c:v>49</c:v>
              </c:pt>
              <c:pt idx="14">
                <c:v>12</c:v>
              </c:pt>
              <c:pt idx="15">
                <c:v>16</c:v>
              </c:pt>
              <c:pt idx="16">
                <c:v>12</c:v>
              </c:pt>
              <c:pt idx="17">
                <c:v>15</c:v>
              </c:pt>
              <c:pt idx="18">
                <c:v>32</c:v>
              </c:pt>
              <c:pt idx="19">
                <c:v>44</c:v>
              </c:pt>
              <c:pt idx="20">
                <c:v>199</c:v>
              </c:pt>
              <c:pt idx="21">
                <c:v>22</c:v>
              </c:pt>
              <c:pt idx="22">
                <c:v>12</c:v>
              </c:pt>
              <c:pt idx="23">
                <c:v>14</c:v>
              </c:pt>
              <c:pt idx="24">
                <c:v>19</c:v>
              </c:pt>
              <c:pt idx="25">
                <c:v>61</c:v>
              </c:pt>
              <c:pt idx="26">
                <c:v>22</c:v>
              </c:pt>
              <c:pt idx="27">
                <c:v>10</c:v>
              </c:pt>
              <c:pt idx="28">
                <c:v>32</c:v>
              </c:pt>
              <c:pt idx="29">
                <c:v>48</c:v>
              </c:pt>
              <c:pt idx="30">
                <c:v>17</c:v>
              </c:pt>
              <c:pt idx="31">
                <c:v>12</c:v>
              </c:pt>
              <c:pt idx="32">
                <c:v>2</c:v>
              </c:pt>
              <c:pt idx="33">
                <c:v>6</c:v>
              </c:pt>
              <c:pt idx="34">
                <c:v>47</c:v>
              </c:pt>
              <c:pt idx="35">
                <c:v>44</c:v>
              </c:pt>
              <c:pt idx="36">
                <c:v>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B32-40E9-9136-13CF5215BF9E}"/>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B32-40E9-9136-13CF5215BF9E}"/>
                </c:ext>
              </c:extLst>
            </c:dLbl>
            <c:dLbl>
              <c:idx val="3"/>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B32-40E9-9136-13CF5215BF9E}"/>
                </c:ext>
              </c:extLst>
            </c:dLbl>
            <c:dLbl>
              <c:idx val="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7B9-4E09-861C-09E69E7B7654}"/>
                </c:ext>
              </c:extLst>
            </c:dLbl>
            <c:dLbl>
              <c:idx val="5"/>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7B9-4E09-861C-09E69E7B7654}"/>
                </c:ext>
              </c:extLst>
            </c:dLbl>
            <c:dLbl>
              <c:idx val="7"/>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7B9-4E09-861C-09E69E7B7654}"/>
                </c:ext>
              </c:extLst>
            </c:dLbl>
            <c:dLbl>
              <c:idx val="9"/>
              <c:tx>
                <c:rich>
                  <a:bodyPr/>
                  <a:lstStyle/>
                  <a:p>
                    <a:r>
                      <a:rPr lang="en-US"/>
                      <a:t>1h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6DFB-45BA-9057-36A0B8F5BF27}"/>
                </c:ext>
              </c:extLst>
            </c:dLbl>
            <c:dLbl>
              <c:idx val="1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7B9-4E09-861C-09E69E7B7654}"/>
                </c:ext>
              </c:extLst>
            </c:dLbl>
            <c:dLbl>
              <c:idx val="11"/>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7B9-4E09-861C-09E69E7B7654}"/>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7B9-4E09-861C-09E69E7B7654}"/>
                </c:ext>
              </c:extLst>
            </c:dLbl>
            <c:dLbl>
              <c:idx val="14"/>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DFB-45BA-9057-36A0B8F5BF27}"/>
                </c:ext>
              </c:extLst>
            </c:dLbl>
            <c:dLbl>
              <c:idx val="19"/>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B32-40E9-9136-13CF5215BF9E}"/>
                </c:ext>
              </c:extLst>
            </c:dLbl>
            <c:dLbl>
              <c:idx val="20"/>
              <c:tx>
                <c:rich>
                  <a:bodyPr/>
                  <a:lstStyle/>
                  <a:p>
                    <a:r>
                      <a:rPr lang="en-US"/>
                      <a:t>13h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B32-40E9-9136-13CF5215BF9E}"/>
                </c:ext>
              </c:extLst>
            </c:dLbl>
            <c:dLbl>
              <c:idx val="22"/>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B32-40E9-9136-13CF5215BF9E}"/>
                </c:ext>
              </c:extLst>
            </c:dLbl>
            <c:dLbl>
              <c:idx val="23"/>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DB32-40E9-9136-13CF5215BF9E}"/>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B32-40E9-9136-13CF5215BF9E}"/>
                </c:ext>
              </c:extLst>
            </c:dLbl>
            <c:dLbl>
              <c:idx val="35"/>
              <c:tx>
                <c:rich>
                  <a:bodyPr/>
                  <a:lstStyle/>
                  <a:p>
                    <a:r>
                      <a:rPr lang="en-US"/>
                      <a:t>7h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74A-4F94-9F89-E66DDC46EA8E}"/>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37"/>
              <c:pt idx="0">
                <c:v>0</c:v>
              </c:pt>
              <c:pt idx="1">
                <c:v>5</c:v>
              </c:pt>
              <c:pt idx="2">
                <c:v>28</c:v>
              </c:pt>
              <c:pt idx="3">
                <c:v>42</c:v>
              </c:pt>
              <c:pt idx="4">
                <c:v>15</c:v>
              </c:pt>
              <c:pt idx="5">
                <c:v>15</c:v>
              </c:pt>
              <c:pt idx="6">
                <c:v>0</c:v>
              </c:pt>
              <c:pt idx="7">
                <c:v>30</c:v>
              </c:pt>
              <c:pt idx="8">
                <c:v>0</c:v>
              </c:pt>
              <c:pt idx="9">
                <c:v>23</c:v>
              </c:pt>
              <c:pt idx="10">
                <c:v>19</c:v>
              </c:pt>
              <c:pt idx="11">
                <c:v>18</c:v>
              </c:pt>
              <c:pt idx="12">
                <c:v>12</c:v>
              </c:pt>
              <c:pt idx="13">
                <c:v>0</c:v>
              </c:pt>
              <c:pt idx="14">
                <c:v>8</c:v>
              </c:pt>
              <c:pt idx="15">
                <c:v>0</c:v>
              </c:pt>
              <c:pt idx="16">
                <c:v>0</c:v>
              </c:pt>
              <c:pt idx="17">
                <c:v>0</c:v>
              </c:pt>
              <c:pt idx="18">
                <c:v>0</c:v>
              </c:pt>
              <c:pt idx="19">
                <c:v>17</c:v>
              </c:pt>
              <c:pt idx="20">
                <c:v>163</c:v>
              </c:pt>
              <c:pt idx="21">
                <c:v>0</c:v>
              </c:pt>
              <c:pt idx="22">
                <c:v>5</c:v>
              </c:pt>
              <c:pt idx="23">
                <c:v>9</c:v>
              </c:pt>
              <c:pt idx="24">
                <c:v>0</c:v>
              </c:pt>
              <c:pt idx="25">
                <c:v>0</c:v>
              </c:pt>
              <c:pt idx="26">
                <c:v>0</c:v>
              </c:pt>
              <c:pt idx="27">
                <c:v>0</c:v>
              </c:pt>
              <c:pt idx="28">
                <c:v>0</c:v>
              </c:pt>
              <c:pt idx="29">
                <c:v>0</c:v>
              </c:pt>
              <c:pt idx="30">
                <c:v>0</c:v>
              </c:pt>
              <c:pt idx="31">
                <c:v>0</c:v>
              </c:pt>
              <c:pt idx="32">
                <c:v>2</c:v>
              </c:pt>
              <c:pt idx="33">
                <c:v>0</c:v>
              </c:pt>
              <c:pt idx="34">
                <c:v>0</c:v>
              </c:pt>
              <c:pt idx="35">
                <c:v>94</c:v>
              </c:pt>
              <c:pt idx="3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50 min</a:t>
                    </a:r>
                  </a:p>
                  <a:p>
                    <a:r>
                      <a:rPr lang="en-US"/>
                      <a:t> 6.8%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26h 15 min</a:t>
                    </a:r>
                  </a:p>
                  <a:p>
                    <a:r>
                      <a:rPr lang="en-US"/>
                      <a:t> 30.4%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6h 15 min</a:t>
                    </a:r>
                  </a:p>
                  <a:p>
                    <a:r>
                      <a:rPr lang="en-US"/>
                      <a:t> 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22h 5 min</a:t>
                    </a:r>
                  </a:p>
                  <a:p>
                    <a:r>
                      <a:rPr lang="en-US"/>
                      <a:t> 25.6%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18h 25 min</a:t>
                    </a:r>
                  </a:p>
                  <a:p>
                    <a:r>
                      <a:rPr lang="en-US"/>
                      <a:t> 21.3%</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3h 55 min</a:t>
                    </a:r>
                  </a:p>
                  <a:p>
                    <a:r>
                      <a:rPr lang="en-US"/>
                      <a:t> 4.5%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3h 40 min</a:t>
                    </a:r>
                  </a:p>
                  <a:p>
                    <a:r>
                      <a:rPr lang="en-US"/>
                      <a:t> 4.2%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70</c:v>
              </c:pt>
              <c:pt idx="2">
                <c:v>315</c:v>
              </c:pt>
              <c:pt idx="3">
                <c:v>75</c:v>
              </c:pt>
              <c:pt idx="4">
                <c:v>265</c:v>
              </c:pt>
              <c:pt idx="5">
                <c:v>221</c:v>
              </c:pt>
              <c:pt idx="6">
                <c:v>47</c:v>
              </c:pt>
              <c:pt idx="7">
                <c:v>44</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6h 15 min</a:t>
                    </a:r>
                  </a:p>
                  <a:p>
                    <a:r>
                      <a:rPr lang="en-US"/>
                      <a:t> 15.3%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11h 40 min</a:t>
                    </a:r>
                  </a:p>
                  <a:p>
                    <a:r>
                      <a:rPr lang="en-US"/>
                      <a:t> 28.6%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15h</a:t>
                    </a:r>
                  </a:p>
                  <a:p>
                    <a:r>
                      <a:rPr lang="en-US"/>
                      <a:t> 36.8%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7h 50 min</a:t>
                    </a:r>
                  </a:p>
                  <a:p>
                    <a:r>
                      <a:rPr lang="en-US"/>
                      <a:t> 19.2%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75</c:v>
              </c:pt>
              <c:pt idx="2">
                <c:v>140</c:v>
              </c:pt>
              <c:pt idx="3">
                <c:v>0</c:v>
              </c:pt>
              <c:pt idx="4">
                <c:v>180</c:v>
              </c:pt>
              <c:pt idx="5">
                <c:v>0</c:v>
              </c:pt>
              <c:pt idx="6">
                <c:v>0</c:v>
              </c:pt>
              <c:pt idx="7">
                <c:v>94</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65942</xdr:rowOff>
    </xdr:from>
    <xdr:to>
      <xdr:col>5</xdr:col>
      <xdr:colOff>170307</xdr:colOff>
      <xdr:row>0</xdr:row>
      <xdr:rowOff>752475</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46256" y="65942"/>
          <a:ext cx="5777601" cy="686533"/>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676275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951219" y="85725"/>
          <a:ext cx="4998968" cy="5905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drawing" Target="../drawings/drawing4.xml"/><Relationship Id="rId7" Type="http://schemas.openxmlformats.org/officeDocument/2006/relationships/control" Target="../activeX/activeX7.xml"/><Relationship Id="rId2" Type="http://schemas.openxmlformats.org/officeDocument/2006/relationships/printerSettings" Target="../printerSettings/printerSettings4.bin"/><Relationship Id="rId1" Type="http://schemas.openxmlformats.org/officeDocument/2006/relationships/hyperlink" Target="https://laravel.com/docs/12.x/errors"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70" zoomScaleNormal="70" workbookViewId="0">
      <selection activeCell="K85" sqref="K8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84" t="s">
        <v>0</v>
      </c>
      <c r="C45" s="184"/>
      <c r="D45" s="184"/>
      <c r="E45" s="139" t="s">
        <v>117</v>
      </c>
      <c r="G45" s="185" t="s">
        <v>1</v>
      </c>
      <c r="H45" s="185"/>
      <c r="I45" s="185"/>
      <c r="J45" s="140" t="s">
        <v>153</v>
      </c>
      <c r="L45" s="186" t="s">
        <v>2</v>
      </c>
      <c r="M45" s="186"/>
      <c r="N45" s="187" t="s">
        <v>154</v>
      </c>
      <c r="O45" s="188"/>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9" zoomScale="40" zoomScaleNormal="40" zoomScaleSheetLayoutView="43" workbookViewId="0">
      <selection activeCell="C87" sqref="C15:C88"/>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211" t="s">
        <v>3</v>
      </c>
      <c r="D1" s="211"/>
      <c r="E1" s="21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118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120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121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12"/>
      <c r="D7" s="212"/>
      <c r="E7" s="21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8</v>
      </c>
      <c r="D8" s="113"/>
      <c r="E8" s="6" t="s">
        <v>122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9</v>
      </c>
      <c r="D9" s="114"/>
      <c r="E9" s="10" t="s">
        <v>10</v>
      </c>
      <c r="F9" s="11"/>
      <c r="G9" s="209" t="str">
        <f>E96</f>
        <v>90h</v>
      </c>
      <c r="H9" s="209"/>
      <c r="I9" s="209"/>
      <c r="J9" s="209"/>
      <c r="K9" s="209"/>
      <c r="L9" s="209"/>
      <c r="M9" s="209"/>
      <c r="N9" s="209"/>
      <c r="O9" s="209"/>
      <c r="P9" s="209"/>
      <c r="Q9" s="209"/>
      <c r="R9" s="209"/>
      <c r="S9" s="209"/>
      <c r="T9" s="209"/>
      <c r="U9" s="209"/>
      <c r="V9" s="94"/>
      <c r="W9" s="210" t="s">
        <v>11</v>
      </c>
      <c r="X9" s="210"/>
      <c r="Y9" s="210"/>
      <c r="Z9" s="210"/>
      <c r="AA9" s="210"/>
      <c r="AB9" s="210"/>
      <c r="AC9" s="210"/>
      <c r="AD9" s="210"/>
      <c r="AE9" s="210"/>
      <c r="AF9" s="210"/>
      <c r="AG9" s="210"/>
      <c r="AH9" s="209" t="str">
        <f>E98</f>
        <v>44h 45 min</v>
      </c>
      <c r="AI9" s="209"/>
      <c r="AJ9" s="209"/>
      <c r="AK9" s="209"/>
      <c r="AL9" s="209"/>
      <c r="AM9" s="209"/>
      <c r="AN9" s="209"/>
      <c r="AO9" s="209"/>
      <c r="AP9" s="209"/>
      <c r="AQ9" s="209"/>
      <c r="AR9" s="209"/>
      <c r="AS9" s="209"/>
      <c r="AT9" s="209"/>
      <c r="AU9" s="209"/>
      <c r="AV9" s="209"/>
      <c r="AW9" s="209"/>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1"/>
      <c r="BO10" s="221"/>
      <c r="BP10" s="221"/>
      <c r="BQ10" s="221"/>
      <c r="BR10" s="221"/>
      <c r="BS10" s="221"/>
      <c r="BT10" s="221"/>
      <c r="BU10" s="221"/>
      <c r="BV10" s="221"/>
      <c r="BW10" s="221"/>
      <c r="BX10" s="221"/>
      <c r="BY10" s="221"/>
      <c r="BZ10" s="221"/>
      <c r="CA10" s="221"/>
      <c r="CB10" s="221"/>
      <c r="CC10" s="221"/>
      <c r="CD10" s="221"/>
      <c r="CE10" s="221"/>
      <c r="CF10" s="221"/>
      <c r="CG10" s="221"/>
      <c r="CH10" s="221"/>
      <c r="CI10" s="221"/>
      <c r="CJ10" s="221"/>
      <c r="CK10" s="221"/>
      <c r="CL10" s="221"/>
      <c r="CM10" s="221"/>
      <c r="CN10" s="221"/>
      <c r="CO10" s="221"/>
      <c r="CP10" s="221"/>
      <c r="CQ10" s="75"/>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73"/>
    </row>
    <row r="11" spans="1:1626" s="71" customFormat="1" ht="20.100000000000001" customHeight="1" x14ac:dyDescent="0.25">
      <c r="A11" s="146"/>
      <c r="B11" s="142"/>
      <c r="C11" s="202"/>
      <c r="D11" s="202"/>
      <c r="E11" s="202"/>
      <c r="F11" s="190" t="s">
        <v>116</v>
      </c>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t="s">
        <v>116</v>
      </c>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c r="CM11" s="190"/>
      <c r="CN11" s="190"/>
      <c r="CO11" s="190"/>
      <c r="CP11" s="190"/>
      <c r="CQ11" s="190"/>
      <c r="CR11" s="190"/>
      <c r="CS11" s="190"/>
      <c r="CT11" s="190"/>
      <c r="CU11" s="190"/>
      <c r="CV11" s="190"/>
      <c r="CW11" s="190"/>
      <c r="CX11" s="190"/>
      <c r="CY11" s="190"/>
      <c r="CZ11" s="190"/>
      <c r="DA11" s="190"/>
      <c r="DB11" s="190"/>
      <c r="DC11" s="190"/>
      <c r="DD11" s="190"/>
      <c r="DE11" s="190"/>
      <c r="DF11" s="190"/>
      <c r="DG11" s="190"/>
      <c r="DH11" s="190"/>
      <c r="DI11" s="190"/>
      <c r="DJ11" s="190"/>
      <c r="DK11" s="190"/>
      <c r="DL11" s="190"/>
      <c r="DM11" s="190"/>
      <c r="DN11" s="190"/>
      <c r="DO11" s="190"/>
      <c r="DP11" s="190"/>
      <c r="DQ11" s="190"/>
      <c r="DR11" s="190"/>
      <c r="DS11" s="190"/>
      <c r="DT11" s="190"/>
      <c r="DU11" s="190"/>
      <c r="DV11" s="190" t="s">
        <v>115</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115</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112</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112</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109</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109</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106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106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103</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103</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100</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100</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97</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97</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94</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94</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91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91</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88</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88</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85</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85</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82</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82</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80</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73"/>
    </row>
    <row r="12" spans="1:1626" ht="49.5" customHeight="1" thickBot="1" x14ac:dyDescent="0.3">
      <c r="B12" s="143"/>
      <c r="C12" s="203"/>
      <c r="D12" s="203"/>
      <c r="E12" s="203"/>
      <c r="F12" s="198" t="s">
        <v>77</v>
      </c>
      <c r="G12" s="198"/>
      <c r="H12" s="198"/>
      <c r="I12" s="198"/>
      <c r="J12" s="198"/>
      <c r="K12" s="198"/>
      <c r="L12" s="198"/>
      <c r="M12" s="198"/>
      <c r="N12" s="198"/>
      <c r="O12" s="198"/>
      <c r="P12" s="198"/>
      <c r="Q12" s="198"/>
      <c r="R12" s="198"/>
      <c r="S12" s="198"/>
      <c r="T12" s="198"/>
      <c r="U12" s="198"/>
      <c r="V12" s="198"/>
      <c r="W12" s="198"/>
      <c r="X12" s="198"/>
      <c r="Y12" s="198"/>
      <c r="Z12" s="198"/>
      <c r="AA12" s="198"/>
      <c r="AB12" s="198"/>
      <c r="AC12" s="198"/>
      <c r="AD12" s="198"/>
      <c r="AE12" s="198"/>
      <c r="AF12" s="198"/>
      <c r="AG12" s="198"/>
      <c r="AH12" s="198"/>
      <c r="AI12" s="198"/>
      <c r="AJ12" s="198"/>
      <c r="AK12" s="198"/>
      <c r="AL12" s="198"/>
      <c r="AM12" s="198"/>
      <c r="AN12" s="198"/>
      <c r="AO12" s="198"/>
      <c r="AP12" s="198"/>
      <c r="AQ12" s="198"/>
      <c r="AR12" s="198"/>
      <c r="AS12" s="198"/>
      <c r="AT12" s="198"/>
      <c r="AU12" s="198"/>
      <c r="AV12" s="198"/>
      <c r="AW12" s="198"/>
      <c r="AX12" s="198"/>
      <c r="AY12" s="198"/>
      <c r="AZ12" s="198"/>
      <c r="BA12" s="198"/>
      <c r="BB12" s="198"/>
      <c r="BC12" s="198"/>
      <c r="BD12" s="198"/>
      <c r="BE12" s="198"/>
      <c r="BF12" s="198"/>
      <c r="BG12" s="198"/>
      <c r="BH12" s="198"/>
      <c r="BI12" s="198"/>
      <c r="BJ12" s="198"/>
      <c r="BK12" s="198"/>
      <c r="BL12" s="198"/>
      <c r="BM12" s="198"/>
      <c r="BN12" s="198" t="s">
        <v>76</v>
      </c>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c r="DR12" s="198"/>
      <c r="DS12" s="198"/>
      <c r="DT12" s="198"/>
      <c r="DU12" s="198"/>
      <c r="DV12" s="197" t="s">
        <v>77</v>
      </c>
      <c r="DW12" s="197"/>
      <c r="DX12" s="197"/>
      <c r="DY12" s="197"/>
      <c r="DZ12" s="197"/>
      <c r="EA12" s="197"/>
      <c r="EB12" s="197"/>
      <c r="EC12" s="197"/>
      <c r="ED12" s="197"/>
      <c r="EE12" s="197"/>
      <c r="EF12" s="197"/>
      <c r="EG12" s="197"/>
      <c r="EH12" s="197"/>
      <c r="EI12" s="197"/>
      <c r="EJ12" s="197"/>
      <c r="EK12" s="197"/>
      <c r="EL12" s="197"/>
      <c r="EM12" s="197"/>
      <c r="EN12" s="197"/>
      <c r="EO12" s="197"/>
      <c r="EP12" s="197"/>
      <c r="EQ12" s="197"/>
      <c r="ER12" s="197"/>
      <c r="ES12" s="197"/>
      <c r="ET12" s="197"/>
      <c r="EU12" s="197"/>
      <c r="EV12" s="197"/>
      <c r="EW12" s="197"/>
      <c r="EX12" s="197"/>
      <c r="EY12" s="197"/>
      <c r="EZ12" s="197"/>
      <c r="FA12" s="197"/>
      <c r="FB12" s="197"/>
      <c r="FC12" s="197"/>
      <c r="FD12" s="197"/>
      <c r="FE12" s="197"/>
      <c r="FF12" s="197"/>
      <c r="FG12" s="197"/>
      <c r="FH12" s="197"/>
      <c r="FI12" s="197"/>
      <c r="FJ12" s="197"/>
      <c r="FK12" s="197"/>
      <c r="FL12" s="197"/>
      <c r="FM12" s="197"/>
      <c r="FN12" s="197"/>
      <c r="FO12" s="197"/>
      <c r="FP12" s="197"/>
      <c r="FQ12" s="197"/>
      <c r="FR12" s="197"/>
      <c r="FS12" s="197"/>
      <c r="FT12" s="197"/>
      <c r="FU12" s="197"/>
      <c r="FV12" s="197"/>
      <c r="FW12" s="197"/>
      <c r="FX12" s="197"/>
      <c r="FY12" s="197"/>
      <c r="FZ12" s="197"/>
      <c r="GA12" s="197"/>
      <c r="GB12" s="197"/>
      <c r="GC12" s="197"/>
      <c r="GD12" s="191" t="s">
        <v>76</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77</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76</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77</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76</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77</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76</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77</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76</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77</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76</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77</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76</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77</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76</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77</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76</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77</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76</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77</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76</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77</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76</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75</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73"/>
    </row>
    <row r="13" spans="1:1626" ht="42.75" customHeight="1" thickBot="1" x14ac:dyDescent="0.3">
      <c r="B13" s="51"/>
      <c r="C13" s="207" t="s">
        <v>12</v>
      </c>
      <c r="D13" s="117"/>
      <c r="E13" s="205" t="s">
        <v>13</v>
      </c>
      <c r="F13" s="192" t="s">
        <v>14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15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114</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113</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111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110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108</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107</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105</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104</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102</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101</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99</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98</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96</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95</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93</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92</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90</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89</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87</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86</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84</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83</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81</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73"/>
    </row>
    <row r="14" spans="1:1626" ht="12.75" customHeight="1" thickBot="1" x14ac:dyDescent="0.35">
      <c r="B14" s="51"/>
      <c r="C14" s="208"/>
      <c r="D14" s="118"/>
      <c r="E14" s="206"/>
      <c r="F14" s="81"/>
      <c r="G14" s="82"/>
      <c r="H14" s="82"/>
      <c r="I14" s="82"/>
      <c r="J14" s="195" t="s">
        <v>17</v>
      </c>
      <c r="K14" s="195"/>
      <c r="L14" s="195"/>
      <c r="M14" s="195"/>
      <c r="N14" s="82"/>
      <c r="O14" s="82"/>
      <c r="P14" s="196" t="s">
        <v>18</v>
      </c>
      <c r="Q14" s="196"/>
      <c r="R14" s="196"/>
      <c r="S14" s="196"/>
      <c r="T14" s="102"/>
      <c r="U14" s="102"/>
      <c r="V14" s="195" t="s">
        <v>19</v>
      </c>
      <c r="W14" s="195"/>
      <c r="X14" s="195"/>
      <c r="Y14" s="195"/>
      <c r="Z14" s="82"/>
      <c r="AA14" s="82"/>
      <c r="AB14" s="196" t="s">
        <v>20</v>
      </c>
      <c r="AC14" s="196"/>
      <c r="AD14" s="196"/>
      <c r="AE14" s="196"/>
      <c r="AF14" s="102"/>
      <c r="AG14" s="102"/>
      <c r="AH14" s="195" t="s">
        <v>21</v>
      </c>
      <c r="AI14" s="195"/>
      <c r="AJ14" s="195"/>
      <c r="AK14" s="195"/>
      <c r="AL14" s="82"/>
      <c r="AM14" s="82"/>
      <c r="AN14" s="196" t="s">
        <v>22</v>
      </c>
      <c r="AO14" s="196"/>
      <c r="AP14" s="196"/>
      <c r="AQ14" s="196"/>
      <c r="AR14" s="102"/>
      <c r="AS14" s="102"/>
      <c r="AT14" s="195" t="s">
        <v>23</v>
      </c>
      <c r="AU14" s="195"/>
      <c r="AV14" s="195"/>
      <c r="AW14" s="195"/>
      <c r="AX14" s="82"/>
      <c r="AY14" s="82"/>
      <c r="AZ14" s="196" t="s">
        <v>24</v>
      </c>
      <c r="BA14" s="196"/>
      <c r="BB14" s="196"/>
      <c r="BC14" s="196"/>
      <c r="BD14" s="102"/>
      <c r="BE14" s="102"/>
      <c r="BF14" s="195" t="s">
        <v>25</v>
      </c>
      <c r="BG14" s="195"/>
      <c r="BH14" s="195"/>
      <c r="BI14" s="195"/>
      <c r="BJ14" s="82"/>
      <c r="BK14" s="82"/>
      <c r="BL14" s="82"/>
      <c r="BM14" s="83"/>
      <c r="BN14" s="81"/>
      <c r="BO14" s="82"/>
      <c r="BP14" s="82"/>
      <c r="BQ14" s="82"/>
      <c r="BR14" s="195" t="s">
        <v>17</v>
      </c>
      <c r="BS14" s="195"/>
      <c r="BT14" s="195"/>
      <c r="BU14" s="195"/>
      <c r="BV14" s="82"/>
      <c r="BW14" s="82"/>
      <c r="BX14" s="196" t="s">
        <v>18</v>
      </c>
      <c r="BY14" s="196"/>
      <c r="BZ14" s="196"/>
      <c r="CA14" s="196"/>
      <c r="CB14" s="102"/>
      <c r="CC14" s="102"/>
      <c r="CD14" s="195" t="s">
        <v>19</v>
      </c>
      <c r="CE14" s="195"/>
      <c r="CF14" s="195"/>
      <c r="CG14" s="195"/>
      <c r="CH14" s="82"/>
      <c r="CI14" s="82"/>
      <c r="CJ14" s="196" t="s">
        <v>20</v>
      </c>
      <c r="CK14" s="196"/>
      <c r="CL14" s="196"/>
      <c r="CM14" s="196"/>
      <c r="CN14" s="102"/>
      <c r="CO14" s="102"/>
      <c r="CP14" s="195" t="s">
        <v>21</v>
      </c>
      <c r="CQ14" s="195"/>
      <c r="CR14" s="195"/>
      <c r="CS14" s="195"/>
      <c r="CT14" s="82"/>
      <c r="CU14" s="82"/>
      <c r="CV14" s="196" t="s">
        <v>22</v>
      </c>
      <c r="CW14" s="196"/>
      <c r="CX14" s="196"/>
      <c r="CY14" s="196"/>
      <c r="CZ14" s="102"/>
      <c r="DA14" s="102"/>
      <c r="DB14" s="195" t="s">
        <v>23</v>
      </c>
      <c r="DC14" s="195"/>
      <c r="DD14" s="195"/>
      <c r="DE14" s="195"/>
      <c r="DF14" s="82"/>
      <c r="DG14" s="82"/>
      <c r="DH14" s="196" t="s">
        <v>24</v>
      </c>
      <c r="DI14" s="196"/>
      <c r="DJ14" s="196"/>
      <c r="DK14" s="196"/>
      <c r="DL14" s="102"/>
      <c r="DM14" s="102"/>
      <c r="DN14" s="195" t="s">
        <v>25</v>
      </c>
      <c r="DO14" s="195"/>
      <c r="DP14" s="195"/>
      <c r="DQ14" s="195"/>
      <c r="DR14" s="82"/>
      <c r="DS14" s="82"/>
      <c r="DT14" s="82"/>
      <c r="DU14" s="83"/>
      <c r="DV14" s="81"/>
      <c r="DW14" s="82"/>
      <c r="DX14" s="82"/>
      <c r="DY14" s="82"/>
      <c r="DZ14" s="195" t="s">
        <v>17</v>
      </c>
      <c r="EA14" s="195"/>
      <c r="EB14" s="195"/>
      <c r="EC14" s="195"/>
      <c r="ED14" s="82"/>
      <c r="EE14" s="82"/>
      <c r="EF14" s="196" t="s">
        <v>18</v>
      </c>
      <c r="EG14" s="196"/>
      <c r="EH14" s="196"/>
      <c r="EI14" s="196"/>
      <c r="EJ14" s="102"/>
      <c r="EK14" s="102"/>
      <c r="EL14" s="195" t="s">
        <v>19</v>
      </c>
      <c r="EM14" s="195"/>
      <c r="EN14" s="195"/>
      <c r="EO14" s="195"/>
      <c r="EP14" s="82"/>
      <c r="EQ14" s="82"/>
      <c r="ER14" s="196" t="s">
        <v>20</v>
      </c>
      <c r="ES14" s="196"/>
      <c r="ET14" s="196"/>
      <c r="EU14" s="196"/>
      <c r="EV14" s="102"/>
      <c r="EW14" s="102"/>
      <c r="EX14" s="195" t="s">
        <v>21</v>
      </c>
      <c r="EY14" s="195"/>
      <c r="EZ14" s="195"/>
      <c r="FA14" s="195"/>
      <c r="FB14" s="82"/>
      <c r="FC14" s="82"/>
      <c r="FD14" s="196" t="s">
        <v>22</v>
      </c>
      <c r="FE14" s="196"/>
      <c r="FF14" s="196"/>
      <c r="FG14" s="196"/>
      <c r="FH14" s="102"/>
      <c r="FI14" s="102"/>
      <c r="FJ14" s="195" t="s">
        <v>23</v>
      </c>
      <c r="FK14" s="195"/>
      <c r="FL14" s="195"/>
      <c r="FM14" s="195"/>
      <c r="FN14" s="82"/>
      <c r="FO14" s="82"/>
      <c r="FP14" s="196" t="s">
        <v>24</v>
      </c>
      <c r="FQ14" s="196"/>
      <c r="FR14" s="196"/>
      <c r="FS14" s="196"/>
      <c r="FT14" s="102"/>
      <c r="FU14" s="102"/>
      <c r="FV14" s="195" t="s">
        <v>25</v>
      </c>
      <c r="FW14" s="195"/>
      <c r="FX14" s="195"/>
      <c r="FY14" s="195"/>
      <c r="FZ14" s="82"/>
      <c r="GA14" s="82"/>
      <c r="GB14" s="82"/>
      <c r="GC14" s="83"/>
      <c r="GD14" s="81"/>
      <c r="GE14" s="82"/>
      <c r="GF14" s="82"/>
      <c r="GG14" s="82"/>
      <c r="GH14" s="195" t="s">
        <v>17</v>
      </c>
      <c r="GI14" s="195"/>
      <c r="GJ14" s="195"/>
      <c r="GK14" s="195"/>
      <c r="GL14" s="82"/>
      <c r="GM14" s="82"/>
      <c r="GN14" s="196" t="s">
        <v>18</v>
      </c>
      <c r="GO14" s="196"/>
      <c r="GP14" s="196"/>
      <c r="GQ14" s="196"/>
      <c r="GR14" s="102"/>
      <c r="GS14" s="102"/>
      <c r="GT14" s="195" t="s">
        <v>19</v>
      </c>
      <c r="GU14" s="195"/>
      <c r="GV14" s="195"/>
      <c r="GW14" s="195"/>
      <c r="GX14" s="82"/>
      <c r="GY14" s="82"/>
      <c r="GZ14" s="196" t="s">
        <v>20</v>
      </c>
      <c r="HA14" s="196"/>
      <c r="HB14" s="196"/>
      <c r="HC14" s="196"/>
      <c r="HD14" s="102"/>
      <c r="HE14" s="102"/>
      <c r="HF14" s="195" t="s">
        <v>21</v>
      </c>
      <c r="HG14" s="195"/>
      <c r="HH14" s="195"/>
      <c r="HI14" s="195"/>
      <c r="HJ14" s="82"/>
      <c r="HK14" s="82"/>
      <c r="HL14" s="196" t="s">
        <v>22</v>
      </c>
      <c r="HM14" s="196"/>
      <c r="HN14" s="196"/>
      <c r="HO14" s="196"/>
      <c r="HP14" s="102"/>
      <c r="HQ14" s="102"/>
      <c r="HR14" s="195" t="s">
        <v>23</v>
      </c>
      <c r="HS14" s="195"/>
      <c r="HT14" s="195"/>
      <c r="HU14" s="195"/>
      <c r="HV14" s="82"/>
      <c r="HW14" s="82"/>
      <c r="HX14" s="196" t="s">
        <v>24</v>
      </c>
      <c r="HY14" s="196"/>
      <c r="HZ14" s="196"/>
      <c r="IA14" s="196"/>
      <c r="IB14" s="102"/>
      <c r="IC14" s="102"/>
      <c r="ID14" s="195" t="s">
        <v>25</v>
      </c>
      <c r="IE14" s="195"/>
      <c r="IF14" s="195"/>
      <c r="IG14" s="195"/>
      <c r="IH14" s="82"/>
      <c r="II14" s="82"/>
      <c r="IJ14" s="82"/>
      <c r="IK14" s="83"/>
      <c r="IL14" s="81"/>
      <c r="IM14" s="82"/>
      <c r="IN14" s="82"/>
      <c r="IO14" s="82"/>
      <c r="IP14" s="195" t="s">
        <v>17</v>
      </c>
      <c r="IQ14" s="195"/>
      <c r="IR14" s="195"/>
      <c r="IS14" s="195"/>
      <c r="IT14" s="82"/>
      <c r="IU14" s="82"/>
      <c r="IV14" s="196" t="s">
        <v>18</v>
      </c>
      <c r="IW14" s="196"/>
      <c r="IX14" s="196"/>
      <c r="IY14" s="196"/>
      <c r="IZ14" s="102"/>
      <c r="JA14" s="102"/>
      <c r="JB14" s="195" t="s">
        <v>19</v>
      </c>
      <c r="JC14" s="195"/>
      <c r="JD14" s="195"/>
      <c r="JE14" s="195"/>
      <c r="JF14" s="82"/>
      <c r="JG14" s="82"/>
      <c r="JH14" s="196" t="s">
        <v>20</v>
      </c>
      <c r="JI14" s="196"/>
      <c r="JJ14" s="196"/>
      <c r="JK14" s="196"/>
      <c r="JL14" s="102"/>
      <c r="JM14" s="102"/>
      <c r="JN14" s="195" t="s">
        <v>21</v>
      </c>
      <c r="JO14" s="195"/>
      <c r="JP14" s="195"/>
      <c r="JQ14" s="195"/>
      <c r="JR14" s="82"/>
      <c r="JS14" s="82"/>
      <c r="JT14" s="196" t="s">
        <v>22</v>
      </c>
      <c r="JU14" s="196"/>
      <c r="JV14" s="196"/>
      <c r="JW14" s="196"/>
      <c r="JX14" s="102"/>
      <c r="JY14" s="102"/>
      <c r="JZ14" s="195" t="s">
        <v>23</v>
      </c>
      <c r="KA14" s="195"/>
      <c r="KB14" s="195"/>
      <c r="KC14" s="195"/>
      <c r="KD14" s="82"/>
      <c r="KE14" s="82"/>
      <c r="KF14" s="196" t="s">
        <v>24</v>
      </c>
      <c r="KG14" s="196"/>
      <c r="KH14" s="196"/>
      <c r="KI14" s="196"/>
      <c r="KJ14" s="102"/>
      <c r="KK14" s="102"/>
      <c r="KL14" s="195" t="s">
        <v>25</v>
      </c>
      <c r="KM14" s="195"/>
      <c r="KN14" s="195"/>
      <c r="KO14" s="195"/>
      <c r="KP14" s="82"/>
      <c r="KQ14" s="82"/>
      <c r="KR14" s="82"/>
      <c r="KS14" s="83"/>
      <c r="KT14" s="81"/>
      <c r="KU14" s="82"/>
      <c r="KV14" s="82"/>
      <c r="KW14" s="82"/>
      <c r="KX14" s="195" t="s">
        <v>17</v>
      </c>
      <c r="KY14" s="195"/>
      <c r="KZ14" s="195"/>
      <c r="LA14" s="195"/>
      <c r="LB14" s="82"/>
      <c r="LC14" s="82"/>
      <c r="LD14" s="196" t="s">
        <v>18</v>
      </c>
      <c r="LE14" s="196"/>
      <c r="LF14" s="196"/>
      <c r="LG14" s="196"/>
      <c r="LH14" s="102"/>
      <c r="LI14" s="102"/>
      <c r="LJ14" s="195" t="s">
        <v>19</v>
      </c>
      <c r="LK14" s="195"/>
      <c r="LL14" s="195"/>
      <c r="LM14" s="195"/>
      <c r="LN14" s="82"/>
      <c r="LO14" s="82"/>
      <c r="LP14" s="196" t="s">
        <v>20</v>
      </c>
      <c r="LQ14" s="196"/>
      <c r="LR14" s="196"/>
      <c r="LS14" s="196"/>
      <c r="LT14" s="102"/>
      <c r="LU14" s="102"/>
      <c r="LV14" s="195" t="s">
        <v>21</v>
      </c>
      <c r="LW14" s="195"/>
      <c r="LX14" s="195"/>
      <c r="LY14" s="195"/>
      <c r="LZ14" s="82"/>
      <c r="MA14" s="82"/>
      <c r="MB14" s="196" t="s">
        <v>22</v>
      </c>
      <c r="MC14" s="196"/>
      <c r="MD14" s="196"/>
      <c r="ME14" s="196"/>
      <c r="MF14" s="102"/>
      <c r="MG14" s="102"/>
      <c r="MH14" s="195" t="s">
        <v>23</v>
      </c>
      <c r="MI14" s="195"/>
      <c r="MJ14" s="195"/>
      <c r="MK14" s="195"/>
      <c r="ML14" s="82"/>
      <c r="MM14" s="82"/>
      <c r="MN14" s="196" t="s">
        <v>24</v>
      </c>
      <c r="MO14" s="196"/>
      <c r="MP14" s="196"/>
      <c r="MQ14" s="196"/>
      <c r="MR14" s="102"/>
      <c r="MS14" s="102"/>
      <c r="MT14" s="195" t="s">
        <v>25</v>
      </c>
      <c r="MU14" s="195"/>
      <c r="MV14" s="195"/>
      <c r="MW14" s="195"/>
      <c r="MX14" s="82"/>
      <c r="MY14" s="82"/>
      <c r="MZ14" s="82"/>
      <c r="NA14" s="83"/>
      <c r="NB14" s="81"/>
      <c r="NC14" s="82"/>
      <c r="ND14" s="82"/>
      <c r="NE14" s="82"/>
      <c r="NF14" s="195" t="s">
        <v>17</v>
      </c>
      <c r="NG14" s="195"/>
      <c r="NH14" s="195"/>
      <c r="NI14" s="195"/>
      <c r="NJ14" s="82"/>
      <c r="NK14" s="82"/>
      <c r="NL14" s="196" t="s">
        <v>18</v>
      </c>
      <c r="NM14" s="196"/>
      <c r="NN14" s="196"/>
      <c r="NO14" s="196"/>
      <c r="NP14" s="102"/>
      <c r="NQ14" s="102"/>
      <c r="NR14" s="195" t="s">
        <v>19</v>
      </c>
      <c r="NS14" s="195"/>
      <c r="NT14" s="195"/>
      <c r="NU14" s="195"/>
      <c r="NV14" s="82"/>
      <c r="NW14" s="82"/>
      <c r="NX14" s="196" t="s">
        <v>20</v>
      </c>
      <c r="NY14" s="196"/>
      <c r="NZ14" s="196"/>
      <c r="OA14" s="196"/>
      <c r="OB14" s="102"/>
      <c r="OC14" s="102"/>
      <c r="OD14" s="195" t="s">
        <v>21</v>
      </c>
      <c r="OE14" s="195"/>
      <c r="OF14" s="195"/>
      <c r="OG14" s="195"/>
      <c r="OH14" s="82"/>
      <c r="OI14" s="82"/>
      <c r="OJ14" s="196" t="s">
        <v>22</v>
      </c>
      <c r="OK14" s="196"/>
      <c r="OL14" s="196"/>
      <c r="OM14" s="196"/>
      <c r="ON14" s="102"/>
      <c r="OO14" s="102"/>
      <c r="OP14" s="195" t="s">
        <v>23</v>
      </c>
      <c r="OQ14" s="195"/>
      <c r="OR14" s="195"/>
      <c r="OS14" s="195"/>
      <c r="OT14" s="82"/>
      <c r="OU14" s="82"/>
      <c r="OV14" s="196" t="s">
        <v>24</v>
      </c>
      <c r="OW14" s="196"/>
      <c r="OX14" s="196"/>
      <c r="OY14" s="196"/>
      <c r="OZ14" s="102"/>
      <c r="PA14" s="102"/>
      <c r="PB14" s="195" t="s">
        <v>25</v>
      </c>
      <c r="PC14" s="195"/>
      <c r="PD14" s="195"/>
      <c r="PE14" s="195"/>
      <c r="PF14" s="82"/>
      <c r="PG14" s="82"/>
      <c r="PH14" s="82"/>
      <c r="PI14" s="83"/>
      <c r="PJ14" s="81"/>
      <c r="PK14" s="82"/>
      <c r="PL14" s="82"/>
      <c r="PM14" s="82"/>
      <c r="PN14" s="195" t="s">
        <v>17</v>
      </c>
      <c r="PO14" s="195"/>
      <c r="PP14" s="195"/>
      <c r="PQ14" s="195"/>
      <c r="PR14" s="82"/>
      <c r="PS14" s="82"/>
      <c r="PT14" s="196" t="s">
        <v>18</v>
      </c>
      <c r="PU14" s="196"/>
      <c r="PV14" s="196"/>
      <c r="PW14" s="196"/>
      <c r="PX14" s="102"/>
      <c r="PY14" s="102"/>
      <c r="PZ14" s="195" t="s">
        <v>19</v>
      </c>
      <c r="QA14" s="195"/>
      <c r="QB14" s="195"/>
      <c r="QC14" s="195"/>
      <c r="QD14" s="82"/>
      <c r="QE14" s="82"/>
      <c r="QF14" s="196" t="s">
        <v>20</v>
      </c>
      <c r="QG14" s="196"/>
      <c r="QH14" s="196"/>
      <c r="QI14" s="196"/>
      <c r="QJ14" s="102"/>
      <c r="QK14" s="102"/>
      <c r="QL14" s="195" t="s">
        <v>21</v>
      </c>
      <c r="QM14" s="195"/>
      <c r="QN14" s="195"/>
      <c r="QO14" s="195"/>
      <c r="QP14" s="82"/>
      <c r="QQ14" s="82"/>
      <c r="QR14" s="196" t="s">
        <v>22</v>
      </c>
      <c r="QS14" s="196"/>
      <c r="QT14" s="196"/>
      <c r="QU14" s="196"/>
      <c r="QV14" s="102"/>
      <c r="QW14" s="102"/>
      <c r="QX14" s="195" t="s">
        <v>23</v>
      </c>
      <c r="QY14" s="195"/>
      <c r="QZ14" s="195"/>
      <c r="RA14" s="195"/>
      <c r="RB14" s="82"/>
      <c r="RC14" s="82"/>
      <c r="RD14" s="196" t="s">
        <v>24</v>
      </c>
      <c r="RE14" s="196"/>
      <c r="RF14" s="196"/>
      <c r="RG14" s="196"/>
      <c r="RH14" s="102"/>
      <c r="RI14" s="102"/>
      <c r="RJ14" s="195" t="s">
        <v>25</v>
      </c>
      <c r="RK14" s="195"/>
      <c r="RL14" s="195"/>
      <c r="RM14" s="195"/>
      <c r="RN14" s="82"/>
      <c r="RO14" s="82"/>
      <c r="RP14" s="82"/>
      <c r="RQ14" s="83"/>
      <c r="RR14" s="81"/>
      <c r="RS14" s="82"/>
      <c r="RT14" s="82"/>
      <c r="RU14" s="82"/>
      <c r="RV14" s="195" t="s">
        <v>17</v>
      </c>
      <c r="RW14" s="195"/>
      <c r="RX14" s="195"/>
      <c r="RY14" s="195"/>
      <c r="RZ14" s="82"/>
      <c r="SA14" s="82"/>
      <c r="SB14" s="196" t="s">
        <v>18</v>
      </c>
      <c r="SC14" s="196"/>
      <c r="SD14" s="196"/>
      <c r="SE14" s="196"/>
      <c r="SF14" s="102"/>
      <c r="SG14" s="102"/>
      <c r="SH14" s="195" t="s">
        <v>19</v>
      </c>
      <c r="SI14" s="195"/>
      <c r="SJ14" s="195"/>
      <c r="SK14" s="195"/>
      <c r="SL14" s="82"/>
      <c r="SM14" s="82"/>
      <c r="SN14" s="196" t="s">
        <v>20</v>
      </c>
      <c r="SO14" s="196"/>
      <c r="SP14" s="196"/>
      <c r="SQ14" s="196"/>
      <c r="SR14" s="102"/>
      <c r="SS14" s="102"/>
      <c r="ST14" s="195" t="s">
        <v>21</v>
      </c>
      <c r="SU14" s="195"/>
      <c r="SV14" s="195"/>
      <c r="SW14" s="195"/>
      <c r="SX14" s="82"/>
      <c r="SY14" s="82"/>
      <c r="SZ14" s="196" t="s">
        <v>22</v>
      </c>
      <c r="TA14" s="196"/>
      <c r="TB14" s="196"/>
      <c r="TC14" s="196"/>
      <c r="TD14" s="102"/>
      <c r="TE14" s="102"/>
      <c r="TF14" s="195" t="s">
        <v>23</v>
      </c>
      <c r="TG14" s="195"/>
      <c r="TH14" s="195"/>
      <c r="TI14" s="195"/>
      <c r="TJ14" s="82"/>
      <c r="TK14" s="82"/>
      <c r="TL14" s="196" t="s">
        <v>24</v>
      </c>
      <c r="TM14" s="196"/>
      <c r="TN14" s="196"/>
      <c r="TO14" s="196"/>
      <c r="TP14" s="102"/>
      <c r="TQ14" s="102"/>
      <c r="TR14" s="195" t="s">
        <v>25</v>
      </c>
      <c r="TS14" s="195"/>
      <c r="TT14" s="195"/>
      <c r="TU14" s="195"/>
      <c r="TV14" s="82"/>
      <c r="TW14" s="82"/>
      <c r="TX14" s="82"/>
      <c r="TY14" s="83"/>
      <c r="TZ14" s="81"/>
      <c r="UA14" s="82"/>
      <c r="UB14" s="82"/>
      <c r="UC14" s="82"/>
      <c r="UD14" s="195" t="s">
        <v>17</v>
      </c>
      <c r="UE14" s="195"/>
      <c r="UF14" s="195"/>
      <c r="UG14" s="195"/>
      <c r="UH14" s="82"/>
      <c r="UI14" s="82"/>
      <c r="UJ14" s="196" t="s">
        <v>18</v>
      </c>
      <c r="UK14" s="196"/>
      <c r="UL14" s="196"/>
      <c r="UM14" s="196"/>
      <c r="UN14" s="102"/>
      <c r="UO14" s="102"/>
      <c r="UP14" s="195" t="s">
        <v>19</v>
      </c>
      <c r="UQ14" s="195"/>
      <c r="UR14" s="195"/>
      <c r="US14" s="195"/>
      <c r="UT14" s="82"/>
      <c r="UU14" s="82"/>
      <c r="UV14" s="196" t="s">
        <v>20</v>
      </c>
      <c r="UW14" s="196"/>
      <c r="UX14" s="196"/>
      <c r="UY14" s="196"/>
      <c r="UZ14" s="102"/>
      <c r="VA14" s="102"/>
      <c r="VB14" s="195" t="s">
        <v>21</v>
      </c>
      <c r="VC14" s="195"/>
      <c r="VD14" s="195"/>
      <c r="VE14" s="195"/>
      <c r="VF14" s="82"/>
      <c r="VG14" s="82"/>
      <c r="VH14" s="196" t="s">
        <v>22</v>
      </c>
      <c r="VI14" s="196"/>
      <c r="VJ14" s="196"/>
      <c r="VK14" s="196"/>
      <c r="VL14" s="102"/>
      <c r="VM14" s="102"/>
      <c r="VN14" s="195" t="s">
        <v>23</v>
      </c>
      <c r="VO14" s="195"/>
      <c r="VP14" s="195"/>
      <c r="VQ14" s="195"/>
      <c r="VR14" s="82"/>
      <c r="VS14" s="82"/>
      <c r="VT14" s="196" t="s">
        <v>24</v>
      </c>
      <c r="VU14" s="196"/>
      <c r="VV14" s="196"/>
      <c r="VW14" s="196"/>
      <c r="VX14" s="102"/>
      <c r="VY14" s="102"/>
      <c r="VZ14" s="195" t="s">
        <v>25</v>
      </c>
      <c r="WA14" s="195"/>
      <c r="WB14" s="195"/>
      <c r="WC14" s="195"/>
      <c r="WD14" s="82"/>
      <c r="WE14" s="82"/>
      <c r="WF14" s="82"/>
      <c r="WG14" s="83"/>
      <c r="WH14" s="81"/>
      <c r="WI14" s="82"/>
      <c r="WJ14" s="82"/>
      <c r="WK14" s="82"/>
      <c r="WL14" s="195" t="s">
        <v>17</v>
      </c>
      <c r="WM14" s="195"/>
      <c r="WN14" s="195"/>
      <c r="WO14" s="195"/>
      <c r="WP14" s="82"/>
      <c r="WQ14" s="82"/>
      <c r="WR14" s="196" t="s">
        <v>18</v>
      </c>
      <c r="WS14" s="196"/>
      <c r="WT14" s="196"/>
      <c r="WU14" s="196"/>
      <c r="WV14" s="102"/>
      <c r="WW14" s="102"/>
      <c r="WX14" s="195" t="s">
        <v>19</v>
      </c>
      <c r="WY14" s="195"/>
      <c r="WZ14" s="195"/>
      <c r="XA14" s="195"/>
      <c r="XB14" s="82"/>
      <c r="XC14" s="82"/>
      <c r="XD14" s="196" t="s">
        <v>20</v>
      </c>
      <c r="XE14" s="196"/>
      <c r="XF14" s="196"/>
      <c r="XG14" s="196"/>
      <c r="XH14" s="102"/>
      <c r="XI14" s="102"/>
      <c r="XJ14" s="195" t="s">
        <v>21</v>
      </c>
      <c r="XK14" s="195"/>
      <c r="XL14" s="195"/>
      <c r="XM14" s="195"/>
      <c r="XN14" s="82"/>
      <c r="XO14" s="82"/>
      <c r="XP14" s="196" t="s">
        <v>22</v>
      </c>
      <c r="XQ14" s="196"/>
      <c r="XR14" s="196"/>
      <c r="XS14" s="196"/>
      <c r="XT14" s="102"/>
      <c r="XU14" s="102"/>
      <c r="XV14" s="195" t="s">
        <v>23</v>
      </c>
      <c r="XW14" s="195"/>
      <c r="XX14" s="195"/>
      <c r="XY14" s="195"/>
      <c r="XZ14" s="82"/>
      <c r="YA14" s="82"/>
      <c r="YB14" s="196" t="s">
        <v>24</v>
      </c>
      <c r="YC14" s="196"/>
      <c r="YD14" s="196"/>
      <c r="YE14" s="196"/>
      <c r="YF14" s="102"/>
      <c r="YG14" s="102"/>
      <c r="YH14" s="195" t="s">
        <v>25</v>
      </c>
      <c r="YI14" s="195"/>
      <c r="YJ14" s="195"/>
      <c r="YK14" s="195"/>
      <c r="YL14" s="82"/>
      <c r="YM14" s="82"/>
      <c r="YN14" s="82"/>
      <c r="YO14" s="83"/>
      <c r="YP14" s="81"/>
      <c r="YQ14" s="82"/>
      <c r="YR14" s="82"/>
      <c r="YS14" s="82"/>
      <c r="YT14" s="195" t="s">
        <v>17</v>
      </c>
      <c r="YU14" s="195"/>
      <c r="YV14" s="195"/>
      <c r="YW14" s="195"/>
      <c r="YX14" s="82"/>
      <c r="YY14" s="82"/>
      <c r="YZ14" s="196" t="s">
        <v>18</v>
      </c>
      <c r="ZA14" s="196"/>
      <c r="ZB14" s="196"/>
      <c r="ZC14" s="196"/>
      <c r="ZD14" s="102"/>
      <c r="ZE14" s="102"/>
      <c r="ZF14" s="195" t="s">
        <v>19</v>
      </c>
      <c r="ZG14" s="195"/>
      <c r="ZH14" s="195"/>
      <c r="ZI14" s="195"/>
      <c r="ZJ14" s="82"/>
      <c r="ZK14" s="82"/>
      <c r="ZL14" s="196" t="s">
        <v>20</v>
      </c>
      <c r="ZM14" s="196"/>
      <c r="ZN14" s="196"/>
      <c r="ZO14" s="196"/>
      <c r="ZP14" s="102"/>
      <c r="ZQ14" s="102"/>
      <c r="ZR14" s="195" t="s">
        <v>21</v>
      </c>
      <c r="ZS14" s="195"/>
      <c r="ZT14" s="195"/>
      <c r="ZU14" s="195"/>
      <c r="ZV14" s="82"/>
      <c r="ZW14" s="82"/>
      <c r="ZX14" s="196" t="s">
        <v>22</v>
      </c>
      <c r="ZY14" s="196"/>
      <c r="ZZ14" s="196"/>
      <c r="AAA14" s="196"/>
      <c r="AAB14" s="102"/>
      <c r="AAC14" s="102"/>
      <c r="AAD14" s="195" t="s">
        <v>23</v>
      </c>
      <c r="AAE14" s="195"/>
      <c r="AAF14" s="195"/>
      <c r="AAG14" s="195"/>
      <c r="AAH14" s="82"/>
      <c r="AAI14" s="82"/>
      <c r="AAJ14" s="196" t="s">
        <v>24</v>
      </c>
      <c r="AAK14" s="196"/>
      <c r="AAL14" s="196"/>
      <c r="AAM14" s="196"/>
      <c r="AAN14" s="102"/>
      <c r="AAO14" s="102"/>
      <c r="AAP14" s="195" t="s">
        <v>25</v>
      </c>
      <c r="AAQ14" s="195"/>
      <c r="AAR14" s="195"/>
      <c r="AAS14" s="195"/>
      <c r="AAT14" s="82"/>
      <c r="AAU14" s="82"/>
      <c r="AAV14" s="82"/>
      <c r="AAW14" s="83"/>
      <c r="AAX14" s="81"/>
      <c r="AAY14" s="82"/>
      <c r="AAZ14" s="82"/>
      <c r="ABA14" s="82"/>
      <c r="ABB14" s="195" t="s">
        <v>17</v>
      </c>
      <c r="ABC14" s="195"/>
      <c r="ABD14" s="195"/>
      <c r="ABE14" s="195"/>
      <c r="ABF14" s="82"/>
      <c r="ABG14" s="82"/>
      <c r="ABH14" s="196" t="s">
        <v>18</v>
      </c>
      <c r="ABI14" s="196"/>
      <c r="ABJ14" s="196"/>
      <c r="ABK14" s="196"/>
      <c r="ABL14" s="102"/>
      <c r="ABM14" s="102"/>
      <c r="ABN14" s="195" t="s">
        <v>19</v>
      </c>
      <c r="ABO14" s="195"/>
      <c r="ABP14" s="195"/>
      <c r="ABQ14" s="195"/>
      <c r="ABR14" s="82"/>
      <c r="ABS14" s="82"/>
      <c r="ABT14" s="196" t="s">
        <v>20</v>
      </c>
      <c r="ABU14" s="196"/>
      <c r="ABV14" s="196"/>
      <c r="ABW14" s="196"/>
      <c r="ABX14" s="102"/>
      <c r="ABY14" s="102"/>
      <c r="ABZ14" s="195" t="s">
        <v>21</v>
      </c>
      <c r="ACA14" s="195"/>
      <c r="ACB14" s="195"/>
      <c r="ACC14" s="195"/>
      <c r="ACD14" s="82"/>
      <c r="ACE14" s="82"/>
      <c r="ACF14" s="196" t="s">
        <v>22</v>
      </c>
      <c r="ACG14" s="196"/>
      <c r="ACH14" s="196"/>
      <c r="ACI14" s="196"/>
      <c r="ACJ14" s="102"/>
      <c r="ACK14" s="102"/>
      <c r="ACL14" s="195" t="s">
        <v>23</v>
      </c>
      <c r="ACM14" s="195"/>
      <c r="ACN14" s="195"/>
      <c r="ACO14" s="195"/>
      <c r="ACP14" s="82"/>
      <c r="ACQ14" s="82"/>
      <c r="ACR14" s="196" t="s">
        <v>24</v>
      </c>
      <c r="ACS14" s="196"/>
      <c r="ACT14" s="196"/>
      <c r="ACU14" s="196"/>
      <c r="ACV14" s="102"/>
      <c r="ACW14" s="102"/>
      <c r="ACX14" s="195" t="s">
        <v>25</v>
      </c>
      <c r="ACY14" s="195"/>
      <c r="ACZ14" s="195"/>
      <c r="ADA14" s="195"/>
      <c r="ADB14" s="82"/>
      <c r="ADC14" s="82"/>
      <c r="ADD14" s="82"/>
      <c r="ADE14" s="83"/>
      <c r="ADF14" s="81"/>
      <c r="ADG14" s="82"/>
      <c r="ADH14" s="82"/>
      <c r="ADI14" s="82"/>
      <c r="ADJ14" s="195" t="s">
        <v>17</v>
      </c>
      <c r="ADK14" s="195"/>
      <c r="ADL14" s="195"/>
      <c r="ADM14" s="195"/>
      <c r="ADN14" s="82"/>
      <c r="ADO14" s="82"/>
      <c r="ADP14" s="196" t="s">
        <v>18</v>
      </c>
      <c r="ADQ14" s="196"/>
      <c r="ADR14" s="196"/>
      <c r="ADS14" s="196"/>
      <c r="ADT14" s="102"/>
      <c r="ADU14" s="102"/>
      <c r="ADV14" s="195" t="s">
        <v>19</v>
      </c>
      <c r="ADW14" s="195"/>
      <c r="ADX14" s="195"/>
      <c r="ADY14" s="195"/>
      <c r="ADZ14" s="82"/>
      <c r="AEA14" s="82"/>
      <c r="AEB14" s="196" t="s">
        <v>20</v>
      </c>
      <c r="AEC14" s="196"/>
      <c r="AED14" s="196"/>
      <c r="AEE14" s="196"/>
      <c r="AEF14" s="102"/>
      <c r="AEG14" s="102"/>
      <c r="AEH14" s="195" t="s">
        <v>21</v>
      </c>
      <c r="AEI14" s="195"/>
      <c r="AEJ14" s="195"/>
      <c r="AEK14" s="195"/>
      <c r="AEL14" s="82"/>
      <c r="AEM14" s="82"/>
      <c r="AEN14" s="196" t="s">
        <v>22</v>
      </c>
      <c r="AEO14" s="196"/>
      <c r="AEP14" s="196"/>
      <c r="AEQ14" s="196"/>
      <c r="AER14" s="102"/>
      <c r="AES14" s="102"/>
      <c r="AET14" s="195" t="s">
        <v>23</v>
      </c>
      <c r="AEU14" s="195"/>
      <c r="AEV14" s="195"/>
      <c r="AEW14" s="195"/>
      <c r="AEX14" s="82"/>
      <c r="AEY14" s="82"/>
      <c r="AEZ14" s="196" t="s">
        <v>24</v>
      </c>
      <c r="AFA14" s="196"/>
      <c r="AFB14" s="196"/>
      <c r="AFC14" s="196"/>
      <c r="AFD14" s="102"/>
      <c r="AFE14" s="102"/>
      <c r="AFF14" s="195" t="s">
        <v>25</v>
      </c>
      <c r="AFG14" s="195"/>
      <c r="AFH14" s="195"/>
      <c r="AFI14" s="195"/>
      <c r="AFJ14" s="82"/>
      <c r="AFK14" s="82"/>
      <c r="AFL14" s="82"/>
      <c r="AFM14" s="83"/>
      <c r="AFN14" s="81"/>
      <c r="AFO14" s="82"/>
      <c r="AFP14" s="82"/>
      <c r="AFQ14" s="82"/>
      <c r="AFR14" s="195" t="s">
        <v>17</v>
      </c>
      <c r="AFS14" s="195"/>
      <c r="AFT14" s="195"/>
      <c r="AFU14" s="195"/>
      <c r="AFV14" s="82"/>
      <c r="AFW14" s="82"/>
      <c r="AFX14" s="196" t="s">
        <v>18</v>
      </c>
      <c r="AFY14" s="196"/>
      <c r="AFZ14" s="196"/>
      <c r="AGA14" s="196"/>
      <c r="AGB14" s="102"/>
      <c r="AGC14" s="102"/>
      <c r="AGD14" s="195" t="s">
        <v>19</v>
      </c>
      <c r="AGE14" s="195"/>
      <c r="AGF14" s="195"/>
      <c r="AGG14" s="195"/>
      <c r="AGH14" s="82"/>
      <c r="AGI14" s="82"/>
      <c r="AGJ14" s="196" t="s">
        <v>20</v>
      </c>
      <c r="AGK14" s="196"/>
      <c r="AGL14" s="196"/>
      <c r="AGM14" s="196"/>
      <c r="AGN14" s="102"/>
      <c r="AGO14" s="102"/>
      <c r="AGP14" s="195" t="s">
        <v>21</v>
      </c>
      <c r="AGQ14" s="195"/>
      <c r="AGR14" s="195"/>
      <c r="AGS14" s="195"/>
      <c r="AGT14" s="82"/>
      <c r="AGU14" s="82"/>
      <c r="AGV14" s="196" t="s">
        <v>22</v>
      </c>
      <c r="AGW14" s="196"/>
      <c r="AGX14" s="196"/>
      <c r="AGY14" s="196"/>
      <c r="AGZ14" s="102"/>
      <c r="AHA14" s="102"/>
      <c r="AHB14" s="195" t="s">
        <v>23</v>
      </c>
      <c r="AHC14" s="195"/>
      <c r="AHD14" s="195"/>
      <c r="AHE14" s="195"/>
      <c r="AHF14" s="82"/>
      <c r="AHG14" s="82"/>
      <c r="AHH14" s="196" t="s">
        <v>24</v>
      </c>
      <c r="AHI14" s="196"/>
      <c r="AHJ14" s="196"/>
      <c r="AHK14" s="196"/>
      <c r="AHL14" s="102"/>
      <c r="AHM14" s="102"/>
      <c r="AHN14" s="195" t="s">
        <v>25</v>
      </c>
      <c r="AHO14" s="195"/>
      <c r="AHP14" s="195"/>
      <c r="AHQ14" s="195"/>
      <c r="AHR14" s="82"/>
      <c r="AHS14" s="82"/>
      <c r="AHT14" s="82"/>
      <c r="AHU14" s="83"/>
      <c r="AHV14" s="81"/>
      <c r="AHW14" s="82"/>
      <c r="AHX14" s="82"/>
      <c r="AHY14" s="82"/>
      <c r="AHZ14" s="195" t="s">
        <v>17</v>
      </c>
      <c r="AIA14" s="195"/>
      <c r="AIB14" s="195"/>
      <c r="AIC14" s="195"/>
      <c r="AID14" s="82"/>
      <c r="AIE14" s="82"/>
      <c r="AIF14" s="196" t="s">
        <v>18</v>
      </c>
      <c r="AIG14" s="196"/>
      <c r="AIH14" s="196"/>
      <c r="AII14" s="196"/>
      <c r="AIJ14" s="102"/>
      <c r="AIK14" s="102"/>
      <c r="AIL14" s="195" t="s">
        <v>19</v>
      </c>
      <c r="AIM14" s="195"/>
      <c r="AIN14" s="195"/>
      <c r="AIO14" s="195"/>
      <c r="AIP14" s="82"/>
      <c r="AIQ14" s="82"/>
      <c r="AIR14" s="196" t="s">
        <v>20</v>
      </c>
      <c r="AIS14" s="196"/>
      <c r="AIT14" s="196"/>
      <c r="AIU14" s="196"/>
      <c r="AIV14" s="102"/>
      <c r="AIW14" s="102"/>
      <c r="AIX14" s="195" t="s">
        <v>21</v>
      </c>
      <c r="AIY14" s="195"/>
      <c r="AIZ14" s="195"/>
      <c r="AJA14" s="195"/>
      <c r="AJB14" s="82"/>
      <c r="AJC14" s="82"/>
      <c r="AJD14" s="196" t="s">
        <v>22</v>
      </c>
      <c r="AJE14" s="196"/>
      <c r="AJF14" s="196"/>
      <c r="AJG14" s="196"/>
      <c r="AJH14" s="102"/>
      <c r="AJI14" s="102"/>
      <c r="AJJ14" s="195" t="s">
        <v>23</v>
      </c>
      <c r="AJK14" s="195"/>
      <c r="AJL14" s="195"/>
      <c r="AJM14" s="195"/>
      <c r="AJN14" s="82"/>
      <c r="AJO14" s="82"/>
      <c r="AJP14" s="196" t="s">
        <v>24</v>
      </c>
      <c r="AJQ14" s="196"/>
      <c r="AJR14" s="196"/>
      <c r="AJS14" s="196"/>
      <c r="AJT14" s="102"/>
      <c r="AJU14" s="102"/>
      <c r="AJV14" s="195" t="s">
        <v>25</v>
      </c>
      <c r="AJW14" s="195"/>
      <c r="AJX14" s="195"/>
      <c r="AJY14" s="195"/>
      <c r="AJZ14" s="82"/>
      <c r="AKA14" s="82"/>
      <c r="AKB14" s="82"/>
      <c r="AKC14" s="83"/>
      <c r="AKD14" s="81"/>
      <c r="AKE14" s="82"/>
      <c r="AKF14" s="82"/>
      <c r="AKG14" s="82"/>
      <c r="AKH14" s="195" t="s">
        <v>17</v>
      </c>
      <c r="AKI14" s="195"/>
      <c r="AKJ14" s="195"/>
      <c r="AKK14" s="195"/>
      <c r="AKL14" s="82"/>
      <c r="AKM14" s="82"/>
      <c r="AKN14" s="196" t="s">
        <v>18</v>
      </c>
      <c r="AKO14" s="196"/>
      <c r="AKP14" s="196"/>
      <c r="AKQ14" s="196"/>
      <c r="AKR14" s="102"/>
      <c r="AKS14" s="102"/>
      <c r="AKT14" s="195" t="s">
        <v>19</v>
      </c>
      <c r="AKU14" s="195"/>
      <c r="AKV14" s="195"/>
      <c r="AKW14" s="195"/>
      <c r="AKX14" s="82"/>
      <c r="AKY14" s="82"/>
      <c r="AKZ14" s="196" t="s">
        <v>20</v>
      </c>
      <c r="ALA14" s="196"/>
      <c r="ALB14" s="196"/>
      <c r="ALC14" s="196"/>
      <c r="ALD14" s="102"/>
      <c r="ALE14" s="102"/>
      <c r="ALF14" s="195" t="s">
        <v>21</v>
      </c>
      <c r="ALG14" s="195"/>
      <c r="ALH14" s="195"/>
      <c r="ALI14" s="195"/>
      <c r="ALJ14" s="82"/>
      <c r="ALK14" s="82"/>
      <c r="ALL14" s="196" t="s">
        <v>22</v>
      </c>
      <c r="ALM14" s="196"/>
      <c r="ALN14" s="196"/>
      <c r="ALO14" s="196"/>
      <c r="ALP14" s="102"/>
      <c r="ALQ14" s="102"/>
      <c r="ALR14" s="195" t="s">
        <v>23</v>
      </c>
      <c r="ALS14" s="195"/>
      <c r="ALT14" s="195"/>
      <c r="ALU14" s="195"/>
      <c r="ALV14" s="82"/>
      <c r="ALW14" s="82"/>
      <c r="ALX14" s="196" t="s">
        <v>24</v>
      </c>
      <c r="ALY14" s="196"/>
      <c r="ALZ14" s="196"/>
      <c r="AMA14" s="196"/>
      <c r="AMB14" s="102"/>
      <c r="AMC14" s="102"/>
      <c r="AMD14" s="195" t="s">
        <v>25</v>
      </c>
      <c r="AME14" s="195"/>
      <c r="AMF14" s="195"/>
      <c r="AMG14" s="195"/>
      <c r="AMH14" s="82"/>
      <c r="AMI14" s="82"/>
      <c r="AMJ14" s="82"/>
      <c r="AMK14" s="83"/>
      <c r="AML14" s="81"/>
      <c r="AMM14" s="82"/>
      <c r="AMN14" s="82"/>
      <c r="AMO14" s="82"/>
      <c r="AMP14" s="195" t="s">
        <v>17</v>
      </c>
      <c r="AMQ14" s="195"/>
      <c r="AMR14" s="195"/>
      <c r="AMS14" s="195"/>
      <c r="AMT14" s="82"/>
      <c r="AMU14" s="82"/>
      <c r="AMV14" s="196" t="s">
        <v>18</v>
      </c>
      <c r="AMW14" s="196"/>
      <c r="AMX14" s="196"/>
      <c r="AMY14" s="196"/>
      <c r="AMZ14" s="102"/>
      <c r="ANA14" s="102"/>
      <c r="ANB14" s="195" t="s">
        <v>19</v>
      </c>
      <c r="ANC14" s="195"/>
      <c r="AND14" s="195"/>
      <c r="ANE14" s="195"/>
      <c r="ANF14" s="82"/>
      <c r="ANG14" s="82"/>
      <c r="ANH14" s="196" t="s">
        <v>20</v>
      </c>
      <c r="ANI14" s="196"/>
      <c r="ANJ14" s="196"/>
      <c r="ANK14" s="196"/>
      <c r="ANL14" s="102"/>
      <c r="ANM14" s="102"/>
      <c r="ANN14" s="195" t="s">
        <v>21</v>
      </c>
      <c r="ANO14" s="195"/>
      <c r="ANP14" s="195"/>
      <c r="ANQ14" s="195"/>
      <c r="ANR14" s="82"/>
      <c r="ANS14" s="82"/>
      <c r="ANT14" s="196" t="s">
        <v>22</v>
      </c>
      <c r="ANU14" s="196"/>
      <c r="ANV14" s="196"/>
      <c r="ANW14" s="196"/>
      <c r="ANX14" s="102"/>
      <c r="ANY14" s="102"/>
      <c r="ANZ14" s="195" t="s">
        <v>23</v>
      </c>
      <c r="AOA14" s="195"/>
      <c r="AOB14" s="195"/>
      <c r="AOC14" s="195"/>
      <c r="AOD14" s="82"/>
      <c r="AOE14" s="82"/>
      <c r="AOF14" s="196" t="s">
        <v>24</v>
      </c>
      <c r="AOG14" s="196"/>
      <c r="AOH14" s="196"/>
      <c r="AOI14" s="196"/>
      <c r="AOJ14" s="102"/>
      <c r="AOK14" s="102"/>
      <c r="AOL14" s="195" t="s">
        <v>25</v>
      </c>
      <c r="AOM14" s="195"/>
      <c r="AON14" s="195"/>
      <c r="AOO14" s="195"/>
      <c r="AOP14" s="82"/>
      <c r="AOQ14" s="82"/>
      <c r="AOR14" s="82"/>
      <c r="AOS14" s="83"/>
      <c r="AOT14" s="81"/>
      <c r="AOU14" s="82"/>
      <c r="AOV14" s="82"/>
      <c r="AOW14" s="82"/>
      <c r="AOX14" s="195" t="s">
        <v>17</v>
      </c>
      <c r="AOY14" s="195"/>
      <c r="AOZ14" s="195"/>
      <c r="APA14" s="195"/>
      <c r="APB14" s="82"/>
      <c r="APC14" s="82"/>
      <c r="APD14" s="196" t="s">
        <v>18</v>
      </c>
      <c r="APE14" s="196"/>
      <c r="APF14" s="196"/>
      <c r="APG14" s="196"/>
      <c r="APH14" s="102"/>
      <c r="API14" s="102"/>
      <c r="APJ14" s="195" t="s">
        <v>19</v>
      </c>
      <c r="APK14" s="195"/>
      <c r="APL14" s="195"/>
      <c r="APM14" s="195"/>
      <c r="APN14" s="82"/>
      <c r="APO14" s="82"/>
      <c r="APP14" s="196" t="s">
        <v>20</v>
      </c>
      <c r="APQ14" s="196"/>
      <c r="APR14" s="196"/>
      <c r="APS14" s="196"/>
      <c r="APT14" s="102"/>
      <c r="APU14" s="102"/>
      <c r="APV14" s="195" t="s">
        <v>21</v>
      </c>
      <c r="APW14" s="195"/>
      <c r="APX14" s="195"/>
      <c r="APY14" s="195"/>
      <c r="APZ14" s="82"/>
      <c r="AQA14" s="82"/>
      <c r="AQB14" s="196" t="s">
        <v>22</v>
      </c>
      <c r="AQC14" s="196"/>
      <c r="AQD14" s="196"/>
      <c r="AQE14" s="196"/>
      <c r="AQF14" s="102"/>
      <c r="AQG14" s="102"/>
      <c r="AQH14" s="195" t="s">
        <v>23</v>
      </c>
      <c r="AQI14" s="195"/>
      <c r="AQJ14" s="195"/>
      <c r="AQK14" s="195"/>
      <c r="AQL14" s="82"/>
      <c r="AQM14" s="82"/>
      <c r="AQN14" s="196" t="s">
        <v>24</v>
      </c>
      <c r="AQO14" s="196"/>
      <c r="AQP14" s="196"/>
      <c r="AQQ14" s="196"/>
      <c r="AQR14" s="102"/>
      <c r="AQS14" s="102"/>
      <c r="AQT14" s="195" t="s">
        <v>25</v>
      </c>
      <c r="AQU14" s="195"/>
      <c r="AQV14" s="195"/>
      <c r="AQW14" s="195"/>
      <c r="AQX14" s="82"/>
      <c r="AQY14" s="82"/>
      <c r="AQZ14" s="82"/>
      <c r="ARA14" s="83"/>
      <c r="ARB14" s="81"/>
      <c r="ARC14" s="82"/>
      <c r="ARD14" s="82"/>
      <c r="ARE14" s="82"/>
      <c r="ARF14" s="195" t="s">
        <v>17</v>
      </c>
      <c r="ARG14" s="195"/>
      <c r="ARH14" s="195"/>
      <c r="ARI14" s="195"/>
      <c r="ARJ14" s="82"/>
      <c r="ARK14" s="82"/>
      <c r="ARL14" s="196" t="s">
        <v>18</v>
      </c>
      <c r="ARM14" s="196"/>
      <c r="ARN14" s="196"/>
      <c r="ARO14" s="196"/>
      <c r="ARP14" s="102"/>
      <c r="ARQ14" s="102"/>
      <c r="ARR14" s="195" t="s">
        <v>19</v>
      </c>
      <c r="ARS14" s="195"/>
      <c r="ART14" s="195"/>
      <c r="ARU14" s="195"/>
      <c r="ARV14" s="82"/>
      <c r="ARW14" s="82"/>
      <c r="ARX14" s="196" t="s">
        <v>20</v>
      </c>
      <c r="ARY14" s="196"/>
      <c r="ARZ14" s="196"/>
      <c r="ASA14" s="196"/>
      <c r="ASB14" s="102"/>
      <c r="ASC14" s="102"/>
      <c r="ASD14" s="195" t="s">
        <v>21</v>
      </c>
      <c r="ASE14" s="195"/>
      <c r="ASF14" s="195"/>
      <c r="ASG14" s="195"/>
      <c r="ASH14" s="82"/>
      <c r="ASI14" s="82"/>
      <c r="ASJ14" s="196" t="s">
        <v>22</v>
      </c>
      <c r="ASK14" s="196"/>
      <c r="ASL14" s="196"/>
      <c r="ASM14" s="196"/>
      <c r="ASN14" s="102"/>
      <c r="ASO14" s="102"/>
      <c r="ASP14" s="195" t="s">
        <v>23</v>
      </c>
      <c r="ASQ14" s="195"/>
      <c r="ASR14" s="195"/>
      <c r="ASS14" s="195"/>
      <c r="AST14" s="82"/>
      <c r="ASU14" s="82"/>
      <c r="ASV14" s="196" t="s">
        <v>24</v>
      </c>
      <c r="ASW14" s="196"/>
      <c r="ASX14" s="196"/>
      <c r="ASY14" s="196"/>
      <c r="ASZ14" s="102"/>
      <c r="ATA14" s="102"/>
      <c r="ATB14" s="195" t="s">
        <v>25</v>
      </c>
      <c r="ATC14" s="195"/>
      <c r="ATD14" s="195"/>
      <c r="ATE14" s="195"/>
      <c r="ATF14" s="82"/>
      <c r="ATG14" s="82"/>
      <c r="ATH14" s="82"/>
      <c r="ATI14" s="83"/>
      <c r="ATJ14" s="81"/>
      <c r="ATK14" s="82"/>
      <c r="ATL14" s="82"/>
      <c r="ATM14" s="82"/>
      <c r="ATN14" s="195" t="s">
        <v>17</v>
      </c>
      <c r="ATO14" s="195"/>
      <c r="ATP14" s="195"/>
      <c r="ATQ14" s="195"/>
      <c r="ATR14" s="82"/>
      <c r="ATS14" s="82"/>
      <c r="ATT14" s="196" t="s">
        <v>18</v>
      </c>
      <c r="ATU14" s="196"/>
      <c r="ATV14" s="196"/>
      <c r="ATW14" s="196"/>
      <c r="ATX14" s="102"/>
      <c r="ATY14" s="102"/>
      <c r="ATZ14" s="195" t="s">
        <v>19</v>
      </c>
      <c r="AUA14" s="195"/>
      <c r="AUB14" s="195"/>
      <c r="AUC14" s="195"/>
      <c r="AUD14" s="82"/>
      <c r="AUE14" s="82"/>
      <c r="AUF14" s="196" t="s">
        <v>20</v>
      </c>
      <c r="AUG14" s="196"/>
      <c r="AUH14" s="196"/>
      <c r="AUI14" s="196"/>
      <c r="AUJ14" s="102"/>
      <c r="AUK14" s="102"/>
      <c r="AUL14" s="195" t="s">
        <v>21</v>
      </c>
      <c r="AUM14" s="195"/>
      <c r="AUN14" s="195"/>
      <c r="AUO14" s="195"/>
      <c r="AUP14" s="82"/>
      <c r="AUQ14" s="82"/>
      <c r="AUR14" s="196" t="s">
        <v>22</v>
      </c>
      <c r="AUS14" s="196"/>
      <c r="AUT14" s="196"/>
      <c r="AUU14" s="196"/>
      <c r="AUV14" s="102"/>
      <c r="AUW14" s="102"/>
      <c r="AUX14" s="195" t="s">
        <v>23</v>
      </c>
      <c r="AUY14" s="195"/>
      <c r="AUZ14" s="195"/>
      <c r="AVA14" s="195"/>
      <c r="AVB14" s="82"/>
      <c r="AVC14" s="82"/>
      <c r="AVD14" s="196" t="s">
        <v>24</v>
      </c>
      <c r="AVE14" s="196"/>
      <c r="AVF14" s="196"/>
      <c r="AVG14" s="196"/>
      <c r="AVH14" s="102"/>
      <c r="AVI14" s="102"/>
      <c r="AVJ14" s="195" t="s">
        <v>25</v>
      </c>
      <c r="AVK14" s="195"/>
      <c r="AVL14" s="195"/>
      <c r="AVM14" s="195"/>
      <c r="AVN14" s="82"/>
      <c r="AVO14" s="82"/>
      <c r="AVP14" s="82"/>
      <c r="AVQ14" s="83"/>
      <c r="AVR14" s="81"/>
      <c r="AVS14" s="82"/>
      <c r="AVT14" s="82"/>
      <c r="AVU14" s="82"/>
      <c r="AVV14" s="195" t="s">
        <v>17</v>
      </c>
      <c r="AVW14" s="195"/>
      <c r="AVX14" s="195"/>
      <c r="AVY14" s="195"/>
      <c r="AVZ14" s="82"/>
      <c r="AWA14" s="82"/>
      <c r="AWB14" s="196" t="s">
        <v>18</v>
      </c>
      <c r="AWC14" s="196"/>
      <c r="AWD14" s="196"/>
      <c r="AWE14" s="196"/>
      <c r="AWF14" s="102"/>
      <c r="AWG14" s="102"/>
      <c r="AWH14" s="195" t="s">
        <v>19</v>
      </c>
      <c r="AWI14" s="195"/>
      <c r="AWJ14" s="195"/>
      <c r="AWK14" s="195"/>
      <c r="AWL14" s="82"/>
      <c r="AWM14" s="82"/>
      <c r="AWN14" s="196" t="s">
        <v>20</v>
      </c>
      <c r="AWO14" s="196"/>
      <c r="AWP14" s="196"/>
      <c r="AWQ14" s="196"/>
      <c r="AWR14" s="102"/>
      <c r="AWS14" s="102"/>
      <c r="AWT14" s="195" t="s">
        <v>21</v>
      </c>
      <c r="AWU14" s="195"/>
      <c r="AWV14" s="195"/>
      <c r="AWW14" s="195"/>
      <c r="AWX14" s="82"/>
      <c r="AWY14" s="82"/>
      <c r="AWZ14" s="196" t="s">
        <v>22</v>
      </c>
      <c r="AXA14" s="196"/>
      <c r="AXB14" s="196"/>
      <c r="AXC14" s="196"/>
      <c r="AXD14" s="102"/>
      <c r="AXE14" s="102"/>
      <c r="AXF14" s="195" t="s">
        <v>23</v>
      </c>
      <c r="AXG14" s="195"/>
      <c r="AXH14" s="195"/>
      <c r="AXI14" s="195"/>
      <c r="AXJ14" s="82"/>
      <c r="AXK14" s="82"/>
      <c r="AXL14" s="196" t="s">
        <v>24</v>
      </c>
      <c r="AXM14" s="196"/>
      <c r="AXN14" s="196"/>
      <c r="AXO14" s="196"/>
      <c r="AXP14" s="102"/>
      <c r="AXQ14" s="102"/>
      <c r="AXR14" s="195" t="s">
        <v>25</v>
      </c>
      <c r="AXS14" s="195"/>
      <c r="AXT14" s="195"/>
      <c r="AXU14" s="195"/>
      <c r="AXV14" s="82"/>
      <c r="AXW14" s="82"/>
      <c r="AXX14" s="82"/>
      <c r="AXY14" s="83"/>
      <c r="AXZ14" s="81"/>
      <c r="AYA14" s="82"/>
      <c r="AYB14" s="82"/>
      <c r="AYC14" s="82"/>
      <c r="AYD14" s="195" t="s">
        <v>17</v>
      </c>
      <c r="AYE14" s="195"/>
      <c r="AYF14" s="195"/>
      <c r="AYG14" s="195"/>
      <c r="AYH14" s="82"/>
      <c r="AYI14" s="82"/>
      <c r="AYJ14" s="196" t="s">
        <v>18</v>
      </c>
      <c r="AYK14" s="196"/>
      <c r="AYL14" s="196"/>
      <c r="AYM14" s="196"/>
      <c r="AYN14" s="102"/>
      <c r="AYO14" s="102"/>
      <c r="AYP14" s="195" t="s">
        <v>19</v>
      </c>
      <c r="AYQ14" s="195"/>
      <c r="AYR14" s="195"/>
      <c r="AYS14" s="195"/>
      <c r="AYT14" s="82"/>
      <c r="AYU14" s="82"/>
      <c r="AYV14" s="196" t="s">
        <v>20</v>
      </c>
      <c r="AYW14" s="196"/>
      <c r="AYX14" s="196"/>
      <c r="AYY14" s="196"/>
      <c r="AYZ14" s="102"/>
      <c r="AZA14" s="102"/>
      <c r="AZB14" s="195" t="s">
        <v>21</v>
      </c>
      <c r="AZC14" s="195"/>
      <c r="AZD14" s="195"/>
      <c r="AZE14" s="195"/>
      <c r="AZF14" s="82"/>
      <c r="AZG14" s="82"/>
      <c r="AZH14" s="196" t="s">
        <v>22</v>
      </c>
      <c r="AZI14" s="196"/>
      <c r="AZJ14" s="196"/>
      <c r="AZK14" s="196"/>
      <c r="AZL14" s="102"/>
      <c r="AZM14" s="102"/>
      <c r="AZN14" s="195" t="s">
        <v>23</v>
      </c>
      <c r="AZO14" s="195"/>
      <c r="AZP14" s="195"/>
      <c r="AZQ14" s="195"/>
      <c r="AZR14" s="82"/>
      <c r="AZS14" s="82"/>
      <c r="AZT14" s="196" t="s">
        <v>24</v>
      </c>
      <c r="AZU14" s="196"/>
      <c r="AZV14" s="196"/>
      <c r="AZW14" s="196"/>
      <c r="AZX14" s="102"/>
      <c r="AZY14" s="102"/>
      <c r="AZZ14" s="195" t="s">
        <v>25</v>
      </c>
      <c r="BAA14" s="195"/>
      <c r="BAB14" s="195"/>
      <c r="BAC14" s="195"/>
      <c r="BAD14" s="82"/>
      <c r="BAE14" s="82"/>
      <c r="BAF14" s="82"/>
      <c r="BAG14" s="83"/>
      <c r="BAH14" s="81"/>
      <c r="BAI14" s="82"/>
      <c r="BAJ14" s="82"/>
      <c r="BAK14" s="82"/>
      <c r="BAL14" s="195" t="s">
        <v>17</v>
      </c>
      <c r="BAM14" s="195"/>
      <c r="BAN14" s="195"/>
      <c r="BAO14" s="195"/>
      <c r="BAP14" s="82"/>
      <c r="BAQ14" s="82"/>
      <c r="BAR14" s="196" t="s">
        <v>18</v>
      </c>
      <c r="BAS14" s="196"/>
      <c r="BAT14" s="196"/>
      <c r="BAU14" s="196"/>
      <c r="BAV14" s="102"/>
      <c r="BAW14" s="102"/>
      <c r="BAX14" s="195" t="s">
        <v>19</v>
      </c>
      <c r="BAY14" s="195"/>
      <c r="BAZ14" s="195"/>
      <c r="BBA14" s="195"/>
      <c r="BBB14" s="82"/>
      <c r="BBC14" s="82"/>
      <c r="BBD14" s="196" t="s">
        <v>20</v>
      </c>
      <c r="BBE14" s="196"/>
      <c r="BBF14" s="196"/>
      <c r="BBG14" s="196"/>
      <c r="BBH14" s="102"/>
      <c r="BBI14" s="102"/>
      <c r="BBJ14" s="195" t="s">
        <v>21</v>
      </c>
      <c r="BBK14" s="195"/>
      <c r="BBL14" s="195"/>
      <c r="BBM14" s="195"/>
      <c r="BBN14" s="82"/>
      <c r="BBO14" s="82"/>
      <c r="BBP14" s="196" t="s">
        <v>22</v>
      </c>
      <c r="BBQ14" s="196"/>
      <c r="BBR14" s="196"/>
      <c r="BBS14" s="196"/>
      <c r="BBT14" s="102"/>
      <c r="BBU14" s="102"/>
      <c r="BBV14" s="195" t="s">
        <v>23</v>
      </c>
      <c r="BBW14" s="195"/>
      <c r="BBX14" s="195"/>
      <c r="BBY14" s="195"/>
      <c r="BBZ14" s="82"/>
      <c r="BCA14" s="82"/>
      <c r="BCB14" s="196" t="s">
        <v>24</v>
      </c>
      <c r="BCC14" s="196"/>
      <c r="BCD14" s="196"/>
      <c r="BCE14" s="196"/>
      <c r="BCF14" s="102"/>
      <c r="BCG14" s="102"/>
      <c r="BCH14" s="195" t="s">
        <v>25</v>
      </c>
      <c r="BCI14" s="195"/>
      <c r="BCJ14" s="195"/>
      <c r="BCK14" s="195"/>
      <c r="BCL14" s="82"/>
      <c r="BCM14" s="82"/>
      <c r="BCN14" s="82"/>
      <c r="BCO14" s="83"/>
      <c r="BCP14" s="81"/>
      <c r="BCQ14" s="82"/>
      <c r="BCR14" s="82"/>
      <c r="BCS14" s="82"/>
      <c r="BCT14" s="195" t="s">
        <v>17</v>
      </c>
      <c r="BCU14" s="195"/>
      <c r="BCV14" s="195"/>
      <c r="BCW14" s="195"/>
      <c r="BCX14" s="82"/>
      <c r="BCY14" s="82"/>
      <c r="BCZ14" s="196" t="s">
        <v>18</v>
      </c>
      <c r="BDA14" s="196"/>
      <c r="BDB14" s="196"/>
      <c r="BDC14" s="196"/>
      <c r="BDD14" s="102"/>
      <c r="BDE14" s="102"/>
      <c r="BDF14" s="195" t="s">
        <v>19</v>
      </c>
      <c r="BDG14" s="195"/>
      <c r="BDH14" s="195"/>
      <c r="BDI14" s="195"/>
      <c r="BDJ14" s="82"/>
      <c r="BDK14" s="82"/>
      <c r="BDL14" s="196" t="s">
        <v>20</v>
      </c>
      <c r="BDM14" s="196"/>
      <c r="BDN14" s="196"/>
      <c r="BDO14" s="196"/>
      <c r="BDP14" s="102"/>
      <c r="BDQ14" s="102"/>
      <c r="BDR14" s="195" t="s">
        <v>21</v>
      </c>
      <c r="BDS14" s="195"/>
      <c r="BDT14" s="195"/>
      <c r="BDU14" s="195"/>
      <c r="BDV14" s="82"/>
      <c r="BDW14" s="82"/>
      <c r="BDX14" s="196" t="s">
        <v>22</v>
      </c>
      <c r="BDY14" s="196"/>
      <c r="BDZ14" s="196"/>
      <c r="BEA14" s="196"/>
      <c r="BEB14" s="102"/>
      <c r="BEC14" s="102"/>
      <c r="BED14" s="195" t="s">
        <v>23</v>
      </c>
      <c r="BEE14" s="195"/>
      <c r="BEF14" s="195"/>
      <c r="BEG14" s="195"/>
      <c r="BEH14" s="82"/>
      <c r="BEI14" s="82"/>
      <c r="BEJ14" s="196" t="s">
        <v>24</v>
      </c>
      <c r="BEK14" s="196"/>
      <c r="BEL14" s="196"/>
      <c r="BEM14" s="196"/>
      <c r="BEN14" s="102"/>
      <c r="BEO14" s="102"/>
      <c r="BEP14" s="195" t="s">
        <v>25</v>
      </c>
      <c r="BEQ14" s="195"/>
      <c r="BER14" s="195"/>
      <c r="BES14" s="195"/>
      <c r="BET14" s="82"/>
      <c r="BEU14" s="82"/>
      <c r="BEV14" s="82"/>
      <c r="BEW14" s="83"/>
      <c r="BEX14" s="81"/>
      <c r="BEY14" s="82"/>
      <c r="BEZ14" s="82"/>
      <c r="BFA14" s="82"/>
      <c r="BFB14" s="195" t="s">
        <v>17</v>
      </c>
      <c r="BFC14" s="195"/>
      <c r="BFD14" s="195"/>
      <c r="BFE14" s="195"/>
      <c r="BFF14" s="82"/>
      <c r="BFG14" s="82"/>
      <c r="BFH14" s="196" t="s">
        <v>18</v>
      </c>
      <c r="BFI14" s="196"/>
      <c r="BFJ14" s="196"/>
      <c r="BFK14" s="196"/>
      <c r="BFL14" s="102"/>
      <c r="BFM14" s="102"/>
      <c r="BFN14" s="195" t="s">
        <v>19</v>
      </c>
      <c r="BFO14" s="195"/>
      <c r="BFP14" s="195"/>
      <c r="BFQ14" s="195"/>
      <c r="BFR14" s="82"/>
      <c r="BFS14" s="82"/>
      <c r="BFT14" s="196" t="s">
        <v>20</v>
      </c>
      <c r="BFU14" s="196"/>
      <c r="BFV14" s="196"/>
      <c r="BFW14" s="196"/>
      <c r="BFX14" s="102"/>
      <c r="BFY14" s="102"/>
      <c r="BFZ14" s="195" t="s">
        <v>21</v>
      </c>
      <c r="BGA14" s="195"/>
      <c r="BGB14" s="195"/>
      <c r="BGC14" s="195"/>
      <c r="BGD14" s="82"/>
      <c r="BGE14" s="82"/>
      <c r="BGF14" s="196" t="s">
        <v>22</v>
      </c>
      <c r="BGG14" s="196"/>
      <c r="BGH14" s="196"/>
      <c r="BGI14" s="196"/>
      <c r="BGJ14" s="102"/>
      <c r="BGK14" s="102"/>
      <c r="BGL14" s="195" t="s">
        <v>23</v>
      </c>
      <c r="BGM14" s="195"/>
      <c r="BGN14" s="195"/>
      <c r="BGO14" s="195"/>
      <c r="BGP14" s="82"/>
      <c r="BGQ14" s="82"/>
      <c r="BGR14" s="196" t="s">
        <v>24</v>
      </c>
      <c r="BGS14" s="196"/>
      <c r="BGT14" s="196"/>
      <c r="BGU14" s="196"/>
      <c r="BGV14" s="102"/>
      <c r="BGW14" s="102"/>
      <c r="BGX14" s="195" t="s">
        <v>25</v>
      </c>
      <c r="BGY14" s="195"/>
      <c r="BGZ14" s="195"/>
      <c r="BHA14" s="195"/>
      <c r="BHB14" s="82"/>
      <c r="BHC14" s="82"/>
      <c r="BHD14" s="82"/>
      <c r="BHE14" s="83"/>
      <c r="BHF14" s="81"/>
      <c r="BHG14" s="82"/>
      <c r="BHH14" s="82"/>
      <c r="BHI14" s="82"/>
      <c r="BHJ14" s="195" t="s">
        <v>17</v>
      </c>
      <c r="BHK14" s="195"/>
      <c r="BHL14" s="195"/>
      <c r="BHM14" s="195"/>
      <c r="BHN14" s="82"/>
      <c r="BHO14" s="82"/>
      <c r="BHP14" s="196" t="s">
        <v>18</v>
      </c>
      <c r="BHQ14" s="196"/>
      <c r="BHR14" s="196"/>
      <c r="BHS14" s="196"/>
      <c r="BHT14" s="102"/>
      <c r="BHU14" s="102"/>
      <c r="BHV14" s="195" t="s">
        <v>19</v>
      </c>
      <c r="BHW14" s="195"/>
      <c r="BHX14" s="195"/>
      <c r="BHY14" s="195"/>
      <c r="BHZ14" s="82"/>
      <c r="BIA14" s="82"/>
      <c r="BIB14" s="196" t="s">
        <v>20</v>
      </c>
      <c r="BIC14" s="196"/>
      <c r="BID14" s="196"/>
      <c r="BIE14" s="196"/>
      <c r="BIF14" s="102"/>
      <c r="BIG14" s="102"/>
      <c r="BIH14" s="195" t="s">
        <v>21</v>
      </c>
      <c r="BII14" s="195"/>
      <c r="BIJ14" s="195"/>
      <c r="BIK14" s="195"/>
      <c r="BIL14" s="82"/>
      <c r="BIM14" s="82"/>
      <c r="BIN14" s="196" t="s">
        <v>22</v>
      </c>
      <c r="BIO14" s="196"/>
      <c r="BIP14" s="196"/>
      <c r="BIQ14" s="196"/>
      <c r="BIR14" s="102"/>
      <c r="BIS14" s="102"/>
      <c r="BIT14" s="195" t="s">
        <v>23</v>
      </c>
      <c r="BIU14" s="195"/>
      <c r="BIV14" s="195"/>
      <c r="BIW14" s="195"/>
      <c r="BIX14" s="82"/>
      <c r="BIY14" s="82"/>
      <c r="BIZ14" s="196" t="s">
        <v>24</v>
      </c>
      <c r="BJA14" s="196"/>
      <c r="BJB14" s="196"/>
      <c r="BJC14" s="196"/>
      <c r="BJD14" s="102"/>
      <c r="BJE14" s="102"/>
      <c r="BJF14" s="195" t="s">
        <v>25</v>
      </c>
      <c r="BJG14" s="195"/>
      <c r="BJH14" s="195"/>
      <c r="BJI14" s="195"/>
      <c r="BJJ14" s="82"/>
      <c r="BJK14" s="82"/>
      <c r="BJL14" s="82"/>
      <c r="BJM14" s="83"/>
      <c r="BJN14" s="73"/>
    </row>
    <row r="15" spans="1:1626" ht="20.100000000000001" customHeight="1" x14ac:dyDescent="0.25">
      <c r="A15" s="78" t="s">
        <v>26</v>
      </c>
      <c r="B15" s="51" t="str">
        <f>IF(LEN(C15)=0,"",C15)</f>
        <v xml:space="preserve">Absences - Imprévus </v>
      </c>
      <c r="C15" s="204" t="s">
        <v>41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27</v>
      </c>
      <c r="B16" s="51" t="str">
        <f>IF(LEN(C17)=0,"",C17)</f>
        <v>Analyse - Analyse du CDC</v>
      </c>
      <c r="C16" s="200"/>
      <c r="D16" s="120" t="str">
        <f t="shared" ref="D16:D79"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00000000000001" customHeight="1" x14ac:dyDescent="0.25">
      <c r="A17" s="78" t="s">
        <v>26</v>
      </c>
      <c r="B17" s="51" t="str">
        <f>IF(LEN(C19)=0,"",C19)</f>
        <v>Analyse - MCD/MLD/MPD</v>
      </c>
      <c r="C17" s="199" t="s">
        <v>42</v>
      </c>
      <c r="D17" s="119" t="str">
        <f t="shared" si="0"/>
        <v xml:space="preserve"> 30 min</v>
      </c>
      <c r="E17" s="26">
        <v>6</v>
      </c>
      <c r="F17" s="27"/>
      <c r="G17" s="28"/>
      <c r="H17" s="28"/>
      <c r="I17" s="28"/>
      <c r="J17" s="28"/>
      <c r="K17" s="105"/>
      <c r="L17" s="28"/>
      <c r="M17" s="28"/>
      <c r="N17" s="28"/>
      <c r="O17" s="28"/>
      <c r="P17" s="28"/>
      <c r="Q17" s="110"/>
      <c r="R17" s="28"/>
      <c r="S17" s="28"/>
      <c r="T17" s="154"/>
      <c r="U17" s="154"/>
      <c r="V17" s="154"/>
      <c r="W17" s="162"/>
      <c r="X17" s="154"/>
      <c r="Y17" s="154"/>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27</v>
      </c>
      <c r="B18" s="51" t="str">
        <f>IF(LEN(C21)=0,"",C21)</f>
        <v>Analyse - Planification initiale</v>
      </c>
      <c r="C18" s="200"/>
      <c r="D18" s="121" t="str">
        <f t="shared" si="0"/>
        <v xml:space="preserve"> 25 min</v>
      </c>
      <c r="E18" s="30">
        <v>5</v>
      </c>
      <c r="F18" s="31"/>
      <c r="G18" s="32"/>
      <c r="H18" s="32"/>
      <c r="I18" s="32"/>
      <c r="J18" s="32"/>
      <c r="K18" s="106"/>
      <c r="L18" s="32"/>
      <c r="M18" s="32"/>
      <c r="N18" s="32"/>
      <c r="O18" s="168"/>
      <c r="P18" s="168"/>
      <c r="Q18" s="172"/>
      <c r="R18" s="168"/>
      <c r="S18" s="168"/>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31"/>
      <c r="IM18" s="32"/>
      <c r="IN18" s="32"/>
      <c r="IO18" s="32"/>
      <c r="IP18" s="32"/>
      <c r="IQ18" s="106"/>
      <c r="IR18" s="32"/>
      <c r="IS18" s="32"/>
      <c r="IT18" s="32"/>
      <c r="IU18" s="32"/>
      <c r="IV18" s="32"/>
      <c r="IW18" s="111"/>
      <c r="IX18" s="32"/>
      <c r="IY18" s="32"/>
      <c r="IZ18" s="32"/>
      <c r="JA18" s="32"/>
      <c r="JB18" s="32"/>
      <c r="JC18" s="58"/>
      <c r="JD18" s="32"/>
      <c r="JE18" s="32"/>
      <c r="JF18" s="32"/>
      <c r="JG18" s="32"/>
      <c r="JH18" s="32"/>
      <c r="JI18" s="111"/>
      <c r="JJ18" s="32"/>
      <c r="JK18" s="32"/>
      <c r="JL18" s="32"/>
      <c r="JM18" s="32"/>
      <c r="JN18" s="32"/>
      <c r="JO18" s="58"/>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31"/>
      <c r="KU18" s="32"/>
      <c r="KV18" s="32"/>
      <c r="KW18" s="32"/>
      <c r="KX18" s="32"/>
      <c r="KY18" s="106"/>
      <c r="KZ18" s="32"/>
      <c r="LA18" s="32"/>
      <c r="LB18" s="32"/>
      <c r="LC18" s="32"/>
      <c r="LD18" s="32"/>
      <c r="LE18" s="111"/>
      <c r="LF18" s="32"/>
      <c r="LG18" s="32"/>
      <c r="LH18" s="32"/>
      <c r="LI18" s="32"/>
      <c r="LJ18" s="32"/>
      <c r="LK18" s="58"/>
      <c r="LL18" s="32"/>
      <c r="LM18" s="32"/>
      <c r="LN18" s="32"/>
      <c r="LO18" s="32"/>
      <c r="LP18" s="32"/>
      <c r="LQ18" s="111"/>
      <c r="LR18" s="32"/>
      <c r="LS18" s="32"/>
      <c r="LT18" s="32"/>
      <c r="LU18" s="32"/>
      <c r="LV18" s="32"/>
      <c r="LW18" s="58"/>
      <c r="LX18" s="32"/>
      <c r="LY18" s="32"/>
      <c r="LZ18" s="32"/>
      <c r="MA18" s="32"/>
      <c r="MB18" s="32"/>
      <c r="MC18" s="111"/>
      <c r="MD18" s="32"/>
      <c r="ME18" s="32"/>
      <c r="MF18" s="32"/>
      <c r="MG18" s="32"/>
      <c r="MH18" s="32"/>
      <c r="MI18" s="58"/>
      <c r="MJ18" s="32"/>
      <c r="MK18" s="32"/>
      <c r="ML18" s="32"/>
      <c r="MM18" s="32"/>
      <c r="MN18" s="32"/>
      <c r="MO18" s="111"/>
      <c r="MP18" s="32"/>
      <c r="MQ18" s="32"/>
      <c r="MR18" s="32"/>
      <c r="MS18" s="32"/>
      <c r="MT18" s="32"/>
      <c r="MU18" s="58"/>
      <c r="MV18" s="32"/>
      <c r="MW18" s="32"/>
      <c r="MX18" s="32"/>
      <c r="MY18" s="32"/>
      <c r="MZ18" s="32"/>
      <c r="NA18" s="33"/>
      <c r="NB18" s="31"/>
      <c r="NC18" s="32"/>
      <c r="ND18" s="32"/>
      <c r="NE18" s="32"/>
      <c r="NF18" s="32"/>
      <c r="NG18" s="106"/>
      <c r="NH18" s="32"/>
      <c r="NI18" s="32"/>
      <c r="NJ18" s="32"/>
      <c r="NK18" s="32"/>
      <c r="NL18" s="32"/>
      <c r="NM18" s="111"/>
      <c r="NN18" s="32"/>
      <c r="NO18" s="32"/>
      <c r="NP18" s="32"/>
      <c r="NQ18" s="32"/>
      <c r="NR18" s="32"/>
      <c r="NS18" s="58"/>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00000000000001" customHeight="1" x14ac:dyDescent="0.25">
      <c r="A19" s="78" t="s">
        <v>26</v>
      </c>
      <c r="B19" s="51" t="str">
        <f>IF(LEN(C23)=0,"",C23)</f>
        <v>Backend - CRUD movies</v>
      </c>
      <c r="C19" s="199" t="s">
        <v>43</v>
      </c>
      <c r="D19" s="119" t="str">
        <f t="shared" si="0"/>
        <v>2h 15 min</v>
      </c>
      <c r="E19" s="34">
        <v>27</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157"/>
      <c r="EI19" s="157"/>
      <c r="EJ19" s="157"/>
      <c r="EK19" s="157"/>
      <c r="EL19" s="157"/>
      <c r="EM19" s="158"/>
      <c r="EN19" s="157"/>
      <c r="EO19" s="157"/>
      <c r="EP19" s="157"/>
      <c r="EQ19" s="157"/>
      <c r="ER19" s="157"/>
      <c r="ES19" s="161"/>
      <c r="ET19" s="157"/>
      <c r="EU19" s="157"/>
      <c r="EV19" s="157"/>
      <c r="EW19" s="157"/>
      <c r="EX19" s="157"/>
      <c r="EY19" s="158"/>
      <c r="EZ19" s="157"/>
      <c r="FA19" s="157"/>
      <c r="FB19" s="157"/>
      <c r="FC19" s="157"/>
      <c r="FD19" s="157"/>
      <c r="FE19" s="161"/>
      <c r="FF19" s="157"/>
      <c r="FG19" s="157"/>
      <c r="FH19" s="157"/>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27</v>
      </c>
      <c r="B20" s="51" t="str">
        <f>IF(LEN(C25)=0,"",C25)</f>
        <v>Backend - CRUD quotes</v>
      </c>
      <c r="C20" s="200"/>
      <c r="D20" s="120" t="str">
        <f t="shared" si="0"/>
        <v>2h 20 min</v>
      </c>
      <c r="E20" s="22">
        <v>28</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24"/>
      <c r="CI20" s="24"/>
      <c r="CJ20" s="24"/>
      <c r="CK20" s="109"/>
      <c r="CL20" s="24"/>
      <c r="CM20" s="24"/>
      <c r="CN20" s="24"/>
      <c r="CO20" s="24"/>
      <c r="CP20" s="24"/>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163"/>
      <c r="DW20" s="164"/>
      <c r="DX20" s="164"/>
      <c r="DY20" s="164"/>
      <c r="DZ20" s="164"/>
      <c r="EA20" s="165"/>
      <c r="EB20" s="164"/>
      <c r="EC20" s="164"/>
      <c r="ED20" s="164"/>
      <c r="EE20" s="164"/>
      <c r="EF20" s="164"/>
      <c r="EG20" s="166"/>
      <c r="EH20" s="164"/>
      <c r="EI20" s="164"/>
      <c r="EJ20" s="164"/>
      <c r="EK20" s="164"/>
      <c r="EL20" s="164"/>
      <c r="EM20" s="169"/>
      <c r="EN20" s="164"/>
      <c r="EO20" s="164"/>
      <c r="EP20" s="164"/>
      <c r="EQ20" s="164"/>
      <c r="ER20" s="164"/>
      <c r="ES20" s="166"/>
      <c r="ET20" s="164"/>
      <c r="EU20" s="164"/>
      <c r="EV20" s="164"/>
      <c r="EW20" s="164"/>
      <c r="EX20" s="24"/>
      <c r="EY20" s="58"/>
      <c r="EZ20" s="24"/>
      <c r="FA20" s="24"/>
      <c r="FB20" s="24"/>
      <c r="FC20" s="24"/>
      <c r="FD20" s="24"/>
      <c r="FE20" s="109"/>
      <c r="FF20" s="24"/>
      <c r="FG20" s="24"/>
      <c r="FH20" s="24"/>
      <c r="FI20" s="24"/>
      <c r="FJ20" s="32"/>
      <c r="FK20" s="58"/>
      <c r="FL20" s="24"/>
      <c r="FM20" s="24"/>
      <c r="FN20" s="24"/>
      <c r="FO20" s="24"/>
      <c r="FP20" s="24"/>
      <c r="FQ20" s="109"/>
      <c r="FR20" s="24"/>
      <c r="FS20" s="24"/>
      <c r="FT20" s="24"/>
      <c r="FU20" s="24"/>
      <c r="FV20" s="24"/>
      <c r="FW20" s="58"/>
      <c r="FX20" s="24"/>
      <c r="FY20" s="24"/>
      <c r="FZ20" s="24"/>
      <c r="GA20" s="24"/>
      <c r="GB20" s="24"/>
      <c r="GC20" s="25"/>
      <c r="GD20" s="23"/>
      <c r="GE20" s="24"/>
      <c r="GF20" s="24"/>
      <c r="GG20" s="24"/>
      <c r="GH20" s="24"/>
      <c r="GI20" s="104"/>
      <c r="GJ20" s="24"/>
      <c r="GK20" s="24"/>
      <c r="GL20" s="24"/>
      <c r="GM20" s="24"/>
      <c r="GN20" s="24"/>
      <c r="GO20" s="109"/>
      <c r="GP20" s="24"/>
      <c r="GQ20" s="24"/>
      <c r="GR20" s="24"/>
      <c r="GS20" s="24"/>
      <c r="GT20" s="24"/>
      <c r="GU20" s="58"/>
      <c r="GV20" s="24"/>
      <c r="GW20" s="24"/>
      <c r="GX20" s="24"/>
      <c r="GY20" s="24"/>
      <c r="GZ20" s="24"/>
      <c r="HA20" s="109"/>
      <c r="HB20" s="24"/>
      <c r="HC20" s="24"/>
      <c r="HD20" s="24"/>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24"/>
      <c r="JE20" s="24"/>
      <c r="JF20" s="24"/>
      <c r="JG20" s="24"/>
      <c r="JH20" s="24"/>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24"/>
      <c r="NU20" s="24"/>
      <c r="NV20" s="24"/>
      <c r="NW20" s="24"/>
      <c r="NX20" s="24"/>
      <c r="NY20" s="109"/>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00000000000001" customHeight="1" x14ac:dyDescent="0.25">
      <c r="A21" s="78" t="s">
        <v>26</v>
      </c>
      <c r="B21" s="51" t="str">
        <f>IF(LEN(C27)=0,"",C27)</f>
        <v>Backend - Détails/revue et finalistations</v>
      </c>
      <c r="C21" s="199" t="s">
        <v>28</v>
      </c>
      <c r="D21" s="119" t="str">
        <f t="shared" si="0"/>
        <v>3h 5 min</v>
      </c>
      <c r="E21" s="26">
        <v>37</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154"/>
      <c r="AE21" s="154"/>
      <c r="AF21" s="154"/>
      <c r="AG21" s="154"/>
      <c r="AH21" s="154"/>
      <c r="AI21" s="162"/>
      <c r="AJ21" s="154"/>
      <c r="AK21" s="154"/>
      <c r="AL21" s="154"/>
      <c r="AM21" s="154"/>
      <c r="AN21" s="154"/>
      <c r="AO21" s="156"/>
      <c r="AP21" s="154"/>
      <c r="AQ21" s="154"/>
      <c r="AR21" s="28"/>
      <c r="AS21" s="28"/>
      <c r="AT21" s="28"/>
      <c r="AU21" s="57"/>
      <c r="AV21" s="28"/>
      <c r="AW21" s="28"/>
      <c r="AX21" s="28"/>
      <c r="AY21" s="28"/>
      <c r="AZ21" s="28"/>
      <c r="BA21" s="110"/>
      <c r="BB21" s="28"/>
      <c r="BC21" s="28"/>
      <c r="BD21" s="28"/>
      <c r="BE21" s="28"/>
      <c r="BF21" s="28"/>
      <c r="BG21" s="57"/>
      <c r="BH21" s="28"/>
      <c r="BI21" s="28"/>
      <c r="BJ21" s="28"/>
      <c r="BK21" s="28"/>
      <c r="BL21" s="28"/>
      <c r="BM21" s="29"/>
      <c r="BN21" s="153"/>
      <c r="BO21" s="154"/>
      <c r="BP21" s="154"/>
      <c r="BQ21" s="154"/>
      <c r="BR21" s="154"/>
      <c r="BS21" s="155"/>
      <c r="BT21" s="154"/>
      <c r="BU21" s="154"/>
      <c r="BV21" s="154"/>
      <c r="BW21" s="154"/>
      <c r="BX21" s="154"/>
      <c r="BY21" s="156"/>
      <c r="BZ21" s="154"/>
      <c r="CA21" s="154"/>
      <c r="CB21" s="154"/>
      <c r="CC21" s="154"/>
      <c r="CD21" s="154"/>
      <c r="CE21" s="162"/>
      <c r="CF21" s="154"/>
      <c r="CG21" s="154"/>
      <c r="CH21" s="154"/>
      <c r="CI21" s="154"/>
      <c r="CJ21" s="154"/>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27</v>
      </c>
      <c r="B22" s="51" t="str">
        <f>IF(LEN(C29)=0,"",C29)</f>
        <v>Backend - Gestion auth/users</v>
      </c>
      <c r="C22" s="200"/>
      <c r="D22" s="120" t="str">
        <f t="shared" si="0"/>
        <v>3h 30 min</v>
      </c>
      <c r="E22" s="30">
        <v>42</v>
      </c>
      <c r="F22" s="31"/>
      <c r="G22" s="32"/>
      <c r="H22" s="32"/>
      <c r="I22" s="32"/>
      <c r="J22" s="32"/>
      <c r="K22" s="106"/>
      <c r="L22" s="32"/>
      <c r="M22" s="32"/>
      <c r="N22" s="32"/>
      <c r="O22" s="32"/>
      <c r="P22" s="32"/>
      <c r="Q22" s="111"/>
      <c r="R22" s="32"/>
      <c r="S22" s="32"/>
      <c r="T22" s="32"/>
      <c r="U22" s="32"/>
      <c r="V22" s="32"/>
      <c r="W22" s="58"/>
      <c r="X22" s="32"/>
      <c r="Y22" s="168"/>
      <c r="Z22" s="168"/>
      <c r="AA22" s="168"/>
      <c r="AB22" s="168"/>
      <c r="AC22" s="172"/>
      <c r="AD22" s="168"/>
      <c r="AE22" s="168"/>
      <c r="AF22" s="168"/>
      <c r="AG22" s="168"/>
      <c r="AH22" s="168"/>
      <c r="AI22" s="169"/>
      <c r="AJ22" s="168"/>
      <c r="AK22" s="168"/>
      <c r="AL22" s="168"/>
      <c r="AM22" s="168"/>
      <c r="AN22" s="168"/>
      <c r="AO22" s="172"/>
      <c r="AP22" s="168"/>
      <c r="AQ22" s="168"/>
      <c r="AR22" s="32"/>
      <c r="AS22" s="32"/>
      <c r="AT22" s="32"/>
      <c r="AU22" s="58"/>
      <c r="AV22" s="32"/>
      <c r="AW22" s="32"/>
      <c r="AX22" s="32"/>
      <c r="AY22" s="32"/>
      <c r="AZ22" s="32"/>
      <c r="BA22" s="111"/>
      <c r="BB22" s="32"/>
      <c r="BC22" s="32"/>
      <c r="BD22" s="32"/>
      <c r="BE22" s="32"/>
      <c r="BF22" s="32"/>
      <c r="BG22" s="58"/>
      <c r="BH22" s="32"/>
      <c r="BI22" s="32"/>
      <c r="BJ22" s="32"/>
      <c r="BK22" s="32"/>
      <c r="BL22" s="32"/>
      <c r="BM22" s="33"/>
      <c r="BN22" s="170"/>
      <c r="BO22" s="168"/>
      <c r="BP22" s="168"/>
      <c r="BQ22" s="168"/>
      <c r="BR22" s="168"/>
      <c r="BS22" s="171"/>
      <c r="BT22" s="168"/>
      <c r="BU22" s="168"/>
      <c r="BV22" s="168"/>
      <c r="BW22" s="168"/>
      <c r="BX22" s="168"/>
      <c r="BY22" s="172"/>
      <c r="BZ22" s="168"/>
      <c r="CA22" s="168"/>
      <c r="CB22" s="168"/>
      <c r="CC22" s="168"/>
      <c r="CD22" s="168"/>
      <c r="CE22" s="169"/>
      <c r="CF22" s="168"/>
      <c r="CG22" s="168"/>
      <c r="CH22" s="168"/>
      <c r="CI22" s="168"/>
      <c r="CJ22" s="168"/>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32"/>
      <c r="EK22" s="32"/>
      <c r="EL22" s="32"/>
      <c r="EM22" s="58"/>
      <c r="EN22" s="32"/>
      <c r="EO22" s="32"/>
      <c r="EP22" s="32"/>
      <c r="EQ22" s="32"/>
      <c r="ER22" s="32"/>
      <c r="ES22" s="111"/>
      <c r="ET22" s="32"/>
      <c r="EU22" s="32"/>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31"/>
      <c r="BEY22" s="32"/>
      <c r="BEZ22" s="32"/>
      <c r="BFA22" s="32"/>
      <c r="BFB22" s="32"/>
      <c r="BFC22" s="106"/>
      <c r="BFD22" s="32"/>
      <c r="BFE22" s="32"/>
      <c r="BFF22" s="32"/>
      <c r="BFG22" s="32"/>
      <c r="BFH22" s="32"/>
      <c r="BFI22" s="111"/>
      <c r="BFJ22" s="32"/>
      <c r="BFK22" s="32"/>
      <c r="BFL22" s="32"/>
      <c r="BFM22" s="32"/>
      <c r="BFN22" s="32"/>
      <c r="BFO22" s="58"/>
      <c r="BFP22" s="32"/>
      <c r="BFQ22" s="32"/>
      <c r="BFR22" s="32"/>
      <c r="BFS22" s="32"/>
      <c r="BFT22" s="32"/>
      <c r="BFU22" s="111"/>
      <c r="BFV22" s="32"/>
      <c r="BFW22" s="32"/>
      <c r="BFX22" s="32"/>
      <c r="BFY22" s="32"/>
      <c r="BFZ22" s="32"/>
      <c r="BGA22" s="58"/>
      <c r="BGB22" s="32"/>
      <c r="BGC22" s="32"/>
      <c r="BGD22" s="32"/>
      <c r="BGE22" s="32"/>
      <c r="BGF22" s="32"/>
      <c r="BGG22" s="111"/>
      <c r="BGH22" s="32"/>
      <c r="BGI22" s="32"/>
      <c r="BGJ22" s="32"/>
      <c r="BGK22" s="32"/>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00000000000001" customHeight="1" x14ac:dyDescent="0.25">
      <c r="A23" s="78" t="s">
        <v>26</v>
      </c>
      <c r="B23" s="51" t="str">
        <f>IF(LEN(C31)=0,"",C31)</f>
        <v>Backend - gestion des erreurs</v>
      </c>
      <c r="C23" s="199" t="s">
        <v>44</v>
      </c>
      <c r="D23" s="119" t="str">
        <f t="shared" si="0"/>
        <v>1h 30 min</v>
      </c>
      <c r="E23" s="34">
        <v>18</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157"/>
      <c r="OO23" s="157"/>
      <c r="OP23" s="157"/>
      <c r="OQ23" s="158"/>
      <c r="OR23" s="157"/>
      <c r="OS23" s="157"/>
      <c r="OT23" s="157"/>
      <c r="OU23" s="157"/>
      <c r="OV23" s="157"/>
      <c r="OW23" s="161"/>
      <c r="OX23" s="36"/>
      <c r="OY23" s="36"/>
      <c r="OZ23" s="36"/>
      <c r="PA23" s="36"/>
      <c r="PB23" s="36"/>
      <c r="PC23" s="59"/>
      <c r="PD23" s="36"/>
      <c r="PE23" s="36"/>
      <c r="PF23" s="36"/>
      <c r="PG23" s="36"/>
      <c r="PH23" s="36"/>
      <c r="PI23" s="37"/>
      <c r="PJ23" s="159"/>
      <c r="PK23" s="157"/>
      <c r="PL23" s="157"/>
      <c r="PM23" s="157"/>
      <c r="PN23" s="157"/>
      <c r="PO23" s="160"/>
      <c r="PP23" s="157"/>
      <c r="PQ23" s="157"/>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27</v>
      </c>
      <c r="B24" s="51" t="str">
        <f>IF(LEN(C33)=0,"",C33)</f>
        <v>Backend - Gestion profil</v>
      </c>
      <c r="C24" s="200"/>
      <c r="D24" s="120" t="str">
        <f t="shared" si="0"/>
        <v>1h 15 min</v>
      </c>
      <c r="E24" s="22">
        <v>15</v>
      </c>
      <c r="F24" s="23"/>
      <c r="G24" s="24"/>
      <c r="H24" s="24"/>
      <c r="I24" s="24"/>
      <c r="J24" s="24"/>
      <c r="K24" s="104"/>
      <c r="L24" s="24"/>
      <c r="M24" s="24"/>
      <c r="N24" s="24"/>
      <c r="O24" s="24"/>
      <c r="P24" s="24"/>
      <c r="Q24" s="109"/>
      <c r="R24" s="24"/>
      <c r="S24" s="24"/>
      <c r="T24" s="24"/>
      <c r="U24" s="24"/>
      <c r="V24" s="24"/>
      <c r="W24" s="56"/>
      <c r="X24" s="24"/>
      <c r="Y24" s="24"/>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24"/>
      <c r="BR24" s="24"/>
      <c r="BS24" s="104"/>
      <c r="BT24" s="24"/>
      <c r="BU24" s="24"/>
      <c r="BV24" s="24"/>
      <c r="BW24" s="24"/>
      <c r="BX24" s="24"/>
      <c r="BY24" s="109"/>
      <c r="BZ24" s="24"/>
      <c r="CA24" s="24"/>
      <c r="CB24" s="24"/>
      <c r="CC24" s="24"/>
      <c r="CD24" s="24"/>
      <c r="CE24" s="56"/>
      <c r="CF24" s="24"/>
      <c r="CG24" s="24"/>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24"/>
      <c r="EQ24" s="24"/>
      <c r="ER24" s="24"/>
      <c r="ES24" s="109"/>
      <c r="ET24" s="24"/>
      <c r="EU24" s="24"/>
      <c r="EV24" s="24"/>
      <c r="EW24" s="24"/>
      <c r="EX24" s="24"/>
      <c r="EY24" s="5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163"/>
      <c r="YQ24" s="164"/>
      <c r="YR24" s="164"/>
      <c r="YS24" s="164"/>
      <c r="YT24" s="164"/>
      <c r="YU24" s="165"/>
      <c r="YV24" s="164"/>
      <c r="YW24" s="164"/>
      <c r="YX24" s="164"/>
      <c r="YY24" s="164"/>
      <c r="YZ24" s="164"/>
      <c r="ZA24" s="166"/>
      <c r="ZB24" s="164"/>
      <c r="ZC24" s="164"/>
      <c r="ZD24" s="16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00000000000001" customHeight="1" x14ac:dyDescent="0.25">
      <c r="A25" s="78" t="s">
        <v>26</v>
      </c>
      <c r="B25" s="51" t="str">
        <f>IF(LEN(C35)=0,"",C35)</f>
        <v>Backend - Initialisation structure Laravel</v>
      </c>
      <c r="C25" s="199" t="s">
        <v>45</v>
      </c>
      <c r="D25" s="119" t="str">
        <f t="shared" si="0"/>
        <v>1h 25 min</v>
      </c>
      <c r="E25" s="26">
        <v>17</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154"/>
      <c r="PS25" s="154"/>
      <c r="PT25" s="154"/>
      <c r="PU25" s="156"/>
      <c r="PV25" s="154"/>
      <c r="PW25" s="154"/>
      <c r="PX25" s="154"/>
      <c r="PY25" s="154"/>
      <c r="PZ25" s="154"/>
      <c r="QA25" s="162"/>
      <c r="QB25" s="154"/>
      <c r="QC25" s="154"/>
      <c r="QD25" s="154"/>
      <c r="QE25" s="154"/>
      <c r="QF25" s="154"/>
      <c r="QG25" s="156"/>
      <c r="QH25" s="154"/>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27</v>
      </c>
      <c r="B26" s="51" t="str">
        <f>IF(LEN(C37)=0,"",C37)</f>
        <v>Backend - Migrations/Seeders</v>
      </c>
      <c r="C26" s="201"/>
      <c r="D26" s="121" t="str">
        <f t="shared" si="0"/>
        <v>1h 15 min</v>
      </c>
      <c r="E26" s="30">
        <v>15</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11"/>
      <c r="BB26" s="32"/>
      <c r="BC26" s="32"/>
      <c r="BD26" s="32"/>
      <c r="BE26" s="32"/>
      <c r="BF26" s="32"/>
      <c r="BG26" s="58"/>
      <c r="BH26" s="32"/>
      <c r="BI26" s="32"/>
      <c r="BJ26" s="32"/>
      <c r="BK26" s="32"/>
      <c r="BL26" s="32"/>
      <c r="BM26" s="33"/>
      <c r="BN26" s="31"/>
      <c r="BO26" s="32"/>
      <c r="BP26" s="32"/>
      <c r="BQ26" s="32"/>
      <c r="BR26" s="32"/>
      <c r="BS26" s="106"/>
      <c r="BT26" s="32"/>
      <c r="BU26" s="32"/>
      <c r="BV26" s="32"/>
      <c r="BW26" s="32"/>
      <c r="BX26" s="32"/>
      <c r="BY26" s="111"/>
      <c r="BZ26" s="32"/>
      <c r="CA26" s="32"/>
      <c r="CB26" s="32"/>
      <c r="CC26" s="32"/>
      <c r="CD26" s="32"/>
      <c r="CE26" s="58"/>
      <c r="CF26" s="32"/>
      <c r="CG26" s="32"/>
      <c r="CH26" s="32"/>
      <c r="CI26" s="32"/>
      <c r="CJ26" s="32"/>
      <c r="CK26" s="111"/>
      <c r="CL26" s="32"/>
      <c r="CM26" s="32"/>
      <c r="CN26" s="32"/>
      <c r="CO26" s="32"/>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32"/>
      <c r="DY26" s="32"/>
      <c r="DZ26" s="32"/>
      <c r="EA26" s="106"/>
      <c r="EB26" s="32"/>
      <c r="EC26" s="32"/>
      <c r="ED26" s="32"/>
      <c r="EE26" s="32"/>
      <c r="EF26" s="32"/>
      <c r="EG26" s="111"/>
      <c r="EH26" s="32"/>
      <c r="EI26" s="32"/>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11"/>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32"/>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31"/>
      <c r="IM26" s="32"/>
      <c r="IN26" s="32"/>
      <c r="IO26" s="32"/>
      <c r="IP26" s="32"/>
      <c r="IQ26" s="106"/>
      <c r="IR26" s="32"/>
      <c r="IS26" s="32"/>
      <c r="IT26" s="32"/>
      <c r="IU26" s="32"/>
      <c r="IV26" s="32"/>
      <c r="IW26" s="111"/>
      <c r="IX26" s="32"/>
      <c r="IY26" s="32"/>
      <c r="IZ26" s="32"/>
      <c r="JA26" s="32"/>
      <c r="JB26" s="32"/>
      <c r="JC26" s="58"/>
      <c r="JD26" s="32"/>
      <c r="JE26" s="32"/>
      <c r="JF26" s="32"/>
      <c r="JG26" s="32"/>
      <c r="JH26" s="32"/>
      <c r="JI26" s="111"/>
      <c r="JJ26" s="32"/>
      <c r="JK26" s="32"/>
      <c r="JL26" s="32"/>
      <c r="JM26" s="32"/>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11"/>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32"/>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32"/>
      <c r="RE26" s="111"/>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11"/>
      <c r="TB26" s="32"/>
      <c r="TC26" s="32"/>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32"/>
      <c r="VU26" s="111"/>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32"/>
      <c r="XI26" s="32"/>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168"/>
      <c r="ZF26" s="168"/>
      <c r="ZG26" s="169"/>
      <c r="ZH26" s="168"/>
      <c r="ZI26" s="168"/>
      <c r="ZJ26" s="168"/>
      <c r="ZK26" s="168"/>
      <c r="ZL26" s="168"/>
      <c r="ZM26" s="172"/>
      <c r="ZN26" s="168"/>
      <c r="ZO26" s="168"/>
      <c r="ZP26" s="168"/>
      <c r="ZQ26" s="168"/>
      <c r="ZR26" s="168"/>
      <c r="ZS26" s="169"/>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32"/>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32"/>
      <c r="BCC26" s="111"/>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32"/>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32"/>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00000000000001" customHeight="1" x14ac:dyDescent="0.25">
      <c r="A27" s="78" t="s">
        <v>26</v>
      </c>
      <c r="B27" s="51" t="str">
        <f>IF(LEN(C39)=0,"",C39)</f>
        <v>Backend - Rôles et accès</v>
      </c>
      <c r="C27" s="199" t="s">
        <v>46</v>
      </c>
      <c r="D27" s="119" t="str">
        <f t="shared" si="0"/>
        <v>4h 20 min</v>
      </c>
      <c r="E27" s="34">
        <v>52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159"/>
      <c r="AVS27" s="157"/>
      <c r="AVT27" s="157"/>
      <c r="AVU27" s="157"/>
      <c r="AVV27" s="157"/>
      <c r="AVW27" s="160"/>
      <c r="AVX27" s="157"/>
      <c r="AVY27" s="157"/>
      <c r="AVZ27" s="157"/>
      <c r="AWA27" s="157"/>
      <c r="AWB27" s="157"/>
      <c r="AWC27" s="161"/>
      <c r="AWD27" s="157"/>
      <c r="AWE27" s="157"/>
      <c r="AWF27" s="157"/>
      <c r="AWG27" s="157"/>
      <c r="AWH27" s="157"/>
      <c r="AWI27" s="158"/>
      <c r="AWJ27" s="157"/>
      <c r="AWK27" s="157"/>
      <c r="AWL27" s="157"/>
      <c r="AWM27" s="157"/>
      <c r="AWN27" s="157"/>
      <c r="AWO27" s="161"/>
      <c r="AWP27" s="157"/>
      <c r="AWQ27" s="157"/>
      <c r="AWR27" s="157"/>
      <c r="AWS27" s="157"/>
      <c r="AWT27" s="157"/>
      <c r="AWU27" s="158"/>
      <c r="AWV27" s="157"/>
      <c r="AWW27" s="157"/>
      <c r="AWX27" s="157"/>
      <c r="AWY27" s="157"/>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159"/>
      <c r="AYA27" s="157"/>
      <c r="AYB27" s="157"/>
      <c r="AYC27" s="157"/>
      <c r="AYD27" s="157"/>
      <c r="AYE27" s="160"/>
      <c r="AYF27" s="157"/>
      <c r="AYG27" s="157"/>
      <c r="AYH27" s="157"/>
      <c r="AYI27" s="157"/>
      <c r="AYJ27" s="157"/>
      <c r="AYK27" s="161"/>
      <c r="AYL27" s="157"/>
      <c r="AYM27" s="157"/>
      <c r="AYN27" s="157"/>
      <c r="AYO27" s="157"/>
      <c r="AYP27" s="157"/>
      <c r="AYQ27" s="158"/>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35"/>
      <c r="BAI27" s="36"/>
      <c r="BAJ27" s="36"/>
      <c r="BAK27" s="36"/>
      <c r="BAL27" s="36"/>
      <c r="BAM27" s="107"/>
      <c r="BAN27" s="36"/>
      <c r="BAO27" s="36"/>
      <c r="BAP27" s="36"/>
      <c r="BAQ27" s="36"/>
      <c r="BAR27" s="36"/>
      <c r="BAS27" s="112"/>
      <c r="BAT27" s="36"/>
      <c r="BAU27" s="36"/>
      <c r="BAV27" s="36"/>
      <c r="BAW27" s="36"/>
      <c r="BAX27" s="36"/>
      <c r="BAY27" s="59"/>
      <c r="BAZ27" s="36"/>
      <c r="BBA27" s="36"/>
      <c r="BBB27" s="36"/>
      <c r="BBC27" s="36"/>
      <c r="BBD27" s="36"/>
      <c r="BBE27" s="112"/>
      <c r="BBF27" s="36"/>
      <c r="BBG27" s="36"/>
      <c r="BBH27" s="36"/>
      <c r="BBI27" s="36"/>
      <c r="BBJ27" s="36"/>
      <c r="BBK27" s="59"/>
      <c r="BBL27" s="36"/>
      <c r="BBM27" s="36"/>
      <c r="BBN27" s="36"/>
      <c r="BBO27" s="36"/>
      <c r="BBP27" s="36"/>
      <c r="BBQ27" s="112"/>
      <c r="BBR27" s="36"/>
      <c r="BBS27" s="36"/>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27</v>
      </c>
      <c r="B28" s="51" t="str">
        <f>IF(LEN(C41)=0,"",C41)</f>
        <v>Backend - Sécurité</v>
      </c>
      <c r="C28" s="201"/>
      <c r="D28" s="121" t="str">
        <f t="shared" si="0"/>
        <v>1h 15 min</v>
      </c>
      <c r="E28" s="22">
        <v>15</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23"/>
      <c r="DW28" s="24"/>
      <c r="DX28" s="24"/>
      <c r="DY28" s="24"/>
      <c r="DZ28" s="24"/>
      <c r="EA28" s="104"/>
      <c r="EB28" s="24"/>
      <c r="EC28" s="24"/>
      <c r="ED28" s="24"/>
      <c r="EE28" s="24"/>
      <c r="EF28" s="24"/>
      <c r="EG28" s="109"/>
      <c r="EH28" s="24"/>
      <c r="EI28" s="24"/>
      <c r="EJ28" s="24"/>
      <c r="EK28" s="24"/>
      <c r="EL28" s="24"/>
      <c r="EM28" s="56"/>
      <c r="EN28" s="24"/>
      <c r="EO28" s="24"/>
      <c r="EP28" s="24"/>
      <c r="EQ28" s="24"/>
      <c r="ER28" s="24"/>
      <c r="ES28" s="109"/>
      <c r="ET28" s="24"/>
      <c r="EU28" s="24"/>
      <c r="EV28" s="24"/>
      <c r="EW28" s="24"/>
      <c r="EX28" s="24"/>
      <c r="EY28" s="56"/>
      <c r="EZ28" s="24"/>
      <c r="FA28" s="24"/>
      <c r="FB28" s="24"/>
      <c r="FC28" s="24"/>
      <c r="FD28" s="24"/>
      <c r="FE28" s="109"/>
      <c r="FF28" s="24"/>
      <c r="FG28" s="24"/>
      <c r="FH28" s="24"/>
      <c r="FI28" s="24"/>
      <c r="FJ28" s="24"/>
      <c r="FK28" s="56"/>
      <c r="FL28" s="24"/>
      <c r="FM28" s="24"/>
      <c r="FN28" s="24"/>
      <c r="FO28" s="24"/>
      <c r="FP28" s="24"/>
      <c r="FQ28" s="109"/>
      <c r="FR28" s="24"/>
      <c r="FS28" s="24"/>
      <c r="FT28" s="24"/>
      <c r="FU28" s="24"/>
      <c r="FV28" s="24"/>
      <c r="FW28" s="56"/>
      <c r="FX28" s="24"/>
      <c r="FY28" s="24"/>
      <c r="FZ28" s="24"/>
      <c r="GA28" s="24"/>
      <c r="GB28" s="24"/>
      <c r="GC28" s="25"/>
      <c r="GD28" s="23"/>
      <c r="GE28" s="24"/>
      <c r="GF28" s="24"/>
      <c r="GG28" s="24"/>
      <c r="GH28" s="24"/>
      <c r="GI28" s="104"/>
      <c r="GJ28" s="24"/>
      <c r="GK28" s="24"/>
      <c r="GL28" s="24"/>
      <c r="GM28" s="24"/>
      <c r="GN28" s="24"/>
      <c r="GO28" s="109"/>
      <c r="GP28" s="24"/>
      <c r="GQ28" s="24"/>
      <c r="GR28" s="24"/>
      <c r="GS28" s="24"/>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23"/>
      <c r="WI28" s="24"/>
      <c r="WJ28" s="24"/>
      <c r="WK28" s="24"/>
      <c r="WL28" s="24"/>
      <c r="WM28" s="104"/>
      <c r="WN28" s="24"/>
      <c r="WO28" s="24"/>
      <c r="WP28" s="24"/>
      <c r="WQ28" s="24"/>
      <c r="WR28" s="24"/>
      <c r="WS28" s="109"/>
      <c r="WT28" s="24"/>
      <c r="WU28" s="24"/>
      <c r="WV28" s="24"/>
      <c r="WW28" s="24"/>
      <c r="WX28" s="24"/>
      <c r="WY28" s="56"/>
      <c r="WZ28" s="24"/>
      <c r="XA28" s="24"/>
      <c r="XB28" s="24"/>
      <c r="XC28" s="24"/>
      <c r="XD28" s="24"/>
      <c r="XE28" s="109"/>
      <c r="XF28" s="24"/>
      <c r="XG28" s="24"/>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66"/>
      <c r="ADR28" s="164"/>
      <c r="ADS28" s="164"/>
      <c r="ADT28" s="164"/>
      <c r="ADU28" s="164"/>
      <c r="ADV28" s="164"/>
      <c r="ADW28" s="167"/>
      <c r="ADX28" s="164"/>
      <c r="ADY28" s="164"/>
      <c r="ADZ28" s="164"/>
      <c r="AEA28" s="164"/>
      <c r="AEB28" s="164"/>
      <c r="AEC28" s="166"/>
      <c r="AED28" s="164"/>
      <c r="AEE28" s="16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56"/>
      <c r="BBX28" s="24"/>
      <c r="BBY28" s="24"/>
      <c r="BBZ28" s="24"/>
      <c r="BCA28" s="24"/>
      <c r="BCB28" s="24"/>
      <c r="BCC28" s="109"/>
      <c r="BCD28" s="24"/>
      <c r="BCE28" s="24"/>
      <c r="BCF28" s="24"/>
      <c r="BCG28" s="24"/>
      <c r="BCH28" s="24"/>
      <c r="BCI28" s="56"/>
      <c r="BCJ28" s="24"/>
      <c r="BCK28" s="24"/>
      <c r="BCL28" s="24"/>
      <c r="BCM28" s="24"/>
      <c r="BCN28" s="24"/>
      <c r="BCO28" s="25"/>
      <c r="BCP28" s="23"/>
      <c r="BCQ28" s="24"/>
      <c r="BCR28" s="24"/>
      <c r="BCS28" s="24"/>
      <c r="BCT28" s="24"/>
      <c r="BCU28" s="104"/>
      <c r="BCV28" s="24"/>
      <c r="BCW28" s="24"/>
      <c r="BCX28" s="24"/>
      <c r="BCY28" s="24"/>
      <c r="BCZ28" s="24"/>
      <c r="BDA28" s="109"/>
      <c r="BDB28" s="24"/>
      <c r="BDC28" s="24"/>
      <c r="BDD28" s="24"/>
      <c r="BDE28" s="24"/>
      <c r="BDF28" s="24"/>
      <c r="BDG28" s="56"/>
      <c r="BDH28" s="24"/>
      <c r="BDI28" s="24"/>
      <c r="BDJ28" s="24"/>
      <c r="BDK28" s="24"/>
      <c r="BDL28" s="24"/>
      <c r="BDM28" s="109"/>
      <c r="BDN28" s="24"/>
      <c r="BDO28" s="24"/>
      <c r="BDP28" s="24"/>
      <c r="BDQ28" s="24"/>
      <c r="BDR28" s="24"/>
      <c r="BDS28" s="56"/>
      <c r="BDT28" s="24"/>
      <c r="BDU28" s="24"/>
      <c r="BDV28" s="24"/>
      <c r="BDW28" s="24"/>
      <c r="BDX28" s="24"/>
      <c r="BDY28" s="109"/>
      <c r="BDZ28" s="24"/>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24"/>
      <c r="BGM28" s="56"/>
      <c r="BGN28" s="24"/>
      <c r="BGO28" s="24"/>
      <c r="BGP28" s="24"/>
      <c r="BGQ28" s="24"/>
      <c r="BGR28" s="24"/>
      <c r="BGS28" s="109"/>
      <c r="BGT28" s="24"/>
      <c r="BGU28" s="24"/>
      <c r="BGV28" s="24"/>
      <c r="BGW28" s="24"/>
      <c r="BGX28" s="24"/>
      <c r="BGY28" s="56"/>
      <c r="BGZ28" s="24"/>
      <c r="BHA28" s="24"/>
      <c r="BHB28" s="24"/>
      <c r="BHC28" s="24"/>
      <c r="BHD28" s="24"/>
      <c r="BHE28" s="25"/>
      <c r="BHF28" s="23"/>
      <c r="BHG28" s="24"/>
      <c r="BHH28" s="24"/>
      <c r="BHI28" s="24"/>
      <c r="BHJ28" s="24"/>
      <c r="BHK28" s="104"/>
      <c r="BHL28" s="24"/>
      <c r="BHM28" s="24"/>
      <c r="BHN28" s="24"/>
      <c r="BHO28" s="24"/>
      <c r="BHP28" s="24"/>
      <c r="BHQ28" s="109"/>
      <c r="BHR28" s="24"/>
      <c r="BHS28" s="24"/>
      <c r="BHT28" s="24"/>
      <c r="BHU28" s="24"/>
      <c r="BHV28" s="24"/>
      <c r="BHW28" s="56"/>
      <c r="BHX28" s="24"/>
      <c r="BHY28" s="24"/>
      <c r="BHZ28" s="24"/>
      <c r="BIA28" s="24"/>
      <c r="BIB28" s="24"/>
      <c r="BIC28" s="109"/>
      <c r="BID28" s="24"/>
      <c r="BIE28" s="24"/>
      <c r="BIF28" s="24"/>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00000000000001" customHeight="1" x14ac:dyDescent="0.25">
      <c r="A29" s="78" t="s">
        <v>26</v>
      </c>
      <c r="B29" s="51" t="str">
        <f>IF(LEN(C43)=0,"",C43)</f>
        <v>Backend - Système de recherche</v>
      </c>
      <c r="C29" s="199" t="s">
        <v>47</v>
      </c>
      <c r="D29" s="119" t="str">
        <f t="shared" si="0"/>
        <v>4h 5 min</v>
      </c>
      <c r="E29" s="26">
        <v>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154"/>
      <c r="JU29" s="156"/>
      <c r="JV29" s="154"/>
      <c r="JW29" s="154"/>
      <c r="JX29" s="154"/>
      <c r="JY29" s="154"/>
      <c r="JZ29" s="154"/>
      <c r="KA29" s="162"/>
      <c r="KB29" s="154"/>
      <c r="KC29" s="154"/>
      <c r="KD29" s="154"/>
      <c r="KE29" s="154"/>
      <c r="KF29" s="154"/>
      <c r="KG29" s="156"/>
      <c r="KH29" s="28"/>
      <c r="KI29" s="28"/>
      <c r="KJ29" s="28"/>
      <c r="KK29" s="28"/>
      <c r="KL29" s="28"/>
      <c r="KM29" s="57"/>
      <c r="KN29" s="28"/>
      <c r="KO29" s="28"/>
      <c r="KP29" s="28"/>
      <c r="KQ29" s="28"/>
      <c r="KR29" s="28"/>
      <c r="KS29" s="29"/>
      <c r="KT29" s="153"/>
      <c r="KU29" s="154"/>
      <c r="KV29" s="154"/>
      <c r="KW29" s="154"/>
      <c r="KX29" s="154"/>
      <c r="KY29" s="155"/>
      <c r="KZ29" s="154"/>
      <c r="LA29" s="154"/>
      <c r="LB29" s="154"/>
      <c r="LC29" s="154"/>
      <c r="LD29" s="154"/>
      <c r="LE29" s="156"/>
      <c r="LF29" s="154"/>
      <c r="LG29" s="154"/>
      <c r="LH29" s="154"/>
      <c r="LI29" s="154"/>
      <c r="LJ29" s="154"/>
      <c r="LK29" s="162"/>
      <c r="LL29" s="154"/>
      <c r="LM29" s="154"/>
      <c r="LN29" s="154"/>
      <c r="LO29" s="154"/>
      <c r="LP29" s="154"/>
      <c r="LQ29" s="156"/>
      <c r="LR29" s="154"/>
      <c r="LS29" s="154"/>
      <c r="LT29" s="154"/>
      <c r="LU29" s="154"/>
      <c r="LV29" s="154"/>
      <c r="LW29" s="162"/>
      <c r="LX29" s="154"/>
      <c r="LY29" s="154"/>
      <c r="LZ29" s="154"/>
      <c r="MA29" s="154"/>
      <c r="MB29" s="154"/>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27</v>
      </c>
      <c r="B30" s="51" t="str">
        <f>IF(LEN(C45)=0,"",C45)</f>
        <v>Déploiement - Azure DB</v>
      </c>
      <c r="C30" s="200"/>
      <c r="D30" s="121" t="str">
        <f t="shared" si="0"/>
        <v>2h 30 min</v>
      </c>
      <c r="E30" s="30">
        <v>30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32"/>
      <c r="GU30" s="58"/>
      <c r="GV30" s="32"/>
      <c r="GW30" s="32"/>
      <c r="GX30" s="32"/>
      <c r="GY30" s="32"/>
      <c r="GZ30" s="32"/>
      <c r="HA30" s="111"/>
      <c r="HB30" s="32"/>
      <c r="HC30" s="32"/>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168"/>
      <c r="XA30" s="168"/>
      <c r="XB30" s="168"/>
      <c r="XC30" s="168"/>
      <c r="XD30" s="168"/>
      <c r="XE30" s="172"/>
      <c r="XF30" s="168"/>
      <c r="XG30" s="168"/>
      <c r="XH30" s="168"/>
      <c r="XI30" s="168"/>
      <c r="XJ30" s="168"/>
      <c r="XK30" s="169"/>
      <c r="XL30" s="168"/>
      <c r="XM30" s="168"/>
      <c r="XN30" s="168"/>
      <c r="XO30" s="168"/>
      <c r="XP30" s="168"/>
      <c r="XQ30" s="172"/>
      <c r="XR30" s="168"/>
      <c r="XS30" s="168"/>
      <c r="XT30" s="168"/>
      <c r="XU30" s="168"/>
      <c r="XV30" s="168"/>
      <c r="XW30" s="169"/>
      <c r="XX30" s="168"/>
      <c r="XY30" s="168"/>
      <c r="XZ30" s="168"/>
      <c r="YA30" s="168"/>
      <c r="YB30" s="168"/>
      <c r="YC30" s="172"/>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00000000000001" customHeight="1" x14ac:dyDescent="0.25">
      <c r="A31" s="78" t="s">
        <v>26</v>
      </c>
      <c r="B31" s="51" t="str">
        <f>IF(LEN(C47)=0,"",C47)</f>
        <v>Déploiement - Azure Static Web App (Frontend)</v>
      </c>
      <c r="C31" s="199" t="s">
        <v>48</v>
      </c>
      <c r="D31" s="119" t="str">
        <f t="shared" si="0"/>
        <v>2h</v>
      </c>
      <c r="E31" s="34">
        <v>24</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157"/>
      <c r="XM31" s="157"/>
      <c r="XN31" s="157"/>
      <c r="XO31" s="157"/>
      <c r="XP31" s="157"/>
      <c r="XQ31" s="161"/>
      <c r="XR31" s="157"/>
      <c r="XS31" s="157"/>
      <c r="XT31" s="157"/>
      <c r="XU31" s="157"/>
      <c r="XV31" s="157"/>
      <c r="XW31" s="158"/>
      <c r="XX31" s="157"/>
      <c r="XY31" s="157"/>
      <c r="XZ31" s="157"/>
      <c r="YA31" s="157"/>
      <c r="YB31" s="157"/>
      <c r="YC31" s="161"/>
      <c r="YD31" s="36"/>
      <c r="YE31" s="36"/>
      <c r="YF31" s="36"/>
      <c r="YG31" s="36"/>
      <c r="YH31" s="36"/>
      <c r="YI31" s="59"/>
      <c r="YJ31" s="36"/>
      <c r="YK31" s="36"/>
      <c r="YL31" s="36"/>
      <c r="YM31" s="36"/>
      <c r="YN31" s="36"/>
      <c r="YO31" s="37"/>
      <c r="YP31" s="159"/>
      <c r="YQ31" s="157"/>
      <c r="YR31" s="157"/>
      <c r="YS31" s="157"/>
      <c r="YT31" s="157"/>
      <c r="YU31" s="160"/>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35"/>
      <c r="AMM31" s="36"/>
      <c r="AMN31" s="36"/>
      <c r="AMO31" s="36"/>
      <c r="AMP31" s="36"/>
      <c r="AMQ31" s="107"/>
      <c r="AMR31" s="36"/>
      <c r="AMS31" s="36"/>
      <c r="AMT31" s="36"/>
      <c r="AMU31" s="36"/>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27</v>
      </c>
      <c r="B32" s="51" t="str">
        <f>IF(LEN(C49)=0,"",C49)</f>
        <v>Déploiement - Azure Web App (Backend)</v>
      </c>
      <c r="C32" s="200"/>
      <c r="D32" s="121" t="str">
        <f t="shared" si="0"/>
        <v xml:space="preserve"> 30 min</v>
      </c>
      <c r="E32" s="22">
        <v>6</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24"/>
      <c r="LO32" s="24"/>
      <c r="LP32" s="24"/>
      <c r="LQ32" s="109"/>
      <c r="LR32" s="24"/>
      <c r="LS32" s="24"/>
      <c r="LT32" s="24"/>
      <c r="LU32" s="24"/>
      <c r="LV32" s="24"/>
      <c r="LW32" s="56"/>
      <c r="LX32" s="24"/>
      <c r="LY32" s="24"/>
      <c r="LZ32" s="24"/>
      <c r="MA32" s="24"/>
      <c r="MB32" s="24"/>
      <c r="MC32" s="109"/>
      <c r="MD32" s="24"/>
      <c r="ME32" s="24"/>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24"/>
      <c r="OA32" s="24"/>
      <c r="OB32" s="24"/>
      <c r="OC32" s="24"/>
      <c r="OD32" s="24"/>
      <c r="OE32" s="56"/>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163"/>
      <c r="ADG32" s="164"/>
      <c r="ADH32" s="164"/>
      <c r="ADI32" s="164"/>
      <c r="ADJ32" s="164"/>
      <c r="ADK32" s="165"/>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00000000000001" customHeight="1" x14ac:dyDescent="0.25">
      <c r="A33" s="78" t="s">
        <v>26</v>
      </c>
      <c r="B33" s="51" t="str">
        <f>IF(LEN(C51)=0,"",C51)</f>
        <v>Déploiement - Finalisation/bugfix workflow &amp; CI/CD</v>
      </c>
      <c r="C33" s="199" t="s">
        <v>49</v>
      </c>
      <c r="D33" s="119" t="str">
        <f t="shared" si="0"/>
        <v>3h 10 min</v>
      </c>
      <c r="E33" s="26">
        <v>38</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153"/>
      <c r="NC33" s="154"/>
      <c r="ND33" s="154"/>
      <c r="NE33" s="154"/>
      <c r="NF33" s="154"/>
      <c r="NG33" s="155"/>
      <c r="NH33" s="154"/>
      <c r="NI33" s="154"/>
      <c r="NJ33" s="154"/>
      <c r="NK33" s="154"/>
      <c r="NL33" s="154"/>
      <c r="NM33" s="156"/>
      <c r="NN33" s="154"/>
      <c r="NO33" s="154"/>
      <c r="NP33" s="154"/>
      <c r="NQ33" s="154"/>
      <c r="NR33" s="154"/>
      <c r="NS33" s="162"/>
      <c r="NT33" s="154"/>
      <c r="NU33" s="154"/>
      <c r="NV33" s="154"/>
      <c r="NW33" s="154"/>
      <c r="NX33" s="154"/>
      <c r="NY33" s="156"/>
      <c r="NZ33" s="154"/>
      <c r="OA33" s="154"/>
      <c r="OB33" s="154"/>
      <c r="OC33" s="154"/>
      <c r="OD33" s="154"/>
      <c r="OE33" s="162"/>
      <c r="OF33" s="154"/>
      <c r="OG33" s="154"/>
      <c r="OH33" s="154"/>
      <c r="OI33" s="154"/>
      <c r="OJ33" s="154"/>
      <c r="OK33" s="156"/>
      <c r="OL33" s="154"/>
      <c r="OM33" s="154"/>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27</v>
      </c>
      <c r="B34" s="51" t="str">
        <f>IF(LEN(C53)=0,"",C53)</f>
        <v>Doc - Journal de travail</v>
      </c>
      <c r="C34" s="200"/>
      <c r="D34" s="121" t="str">
        <f t="shared" si="0"/>
        <v>1h 55 min</v>
      </c>
      <c r="E34" s="30">
        <v>23</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32"/>
      <c r="FG34" s="32"/>
      <c r="FH34" s="32"/>
      <c r="FI34" s="32"/>
      <c r="FJ34" s="32"/>
      <c r="FK34" s="58"/>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32"/>
      <c r="HK34" s="32"/>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168"/>
      <c r="ABF34" s="168"/>
      <c r="ABG34" s="168"/>
      <c r="ABH34" s="168"/>
      <c r="ABI34" s="172"/>
      <c r="ABJ34" s="168"/>
      <c r="ABK34" s="168"/>
      <c r="ABL34" s="168"/>
      <c r="ABM34" s="168"/>
      <c r="ABN34" s="168"/>
      <c r="ABO34" s="169"/>
      <c r="ABP34" s="168"/>
      <c r="ABQ34" s="168"/>
      <c r="ABR34" s="168"/>
      <c r="ABS34" s="168"/>
      <c r="ABT34" s="168"/>
      <c r="ABU34" s="172"/>
      <c r="ABV34" s="168"/>
      <c r="ABW34" s="168"/>
      <c r="ABX34" s="168"/>
      <c r="ABY34" s="168"/>
      <c r="ABZ34" s="168"/>
      <c r="ACA34" s="169"/>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00000000000001" customHeight="1" x14ac:dyDescent="0.25">
      <c r="A35" s="78" t="s">
        <v>26</v>
      </c>
      <c r="B35" s="51" t="str">
        <f>IF(LEN(C55)=0,"",C55)</f>
        <v>Doc - Rapport</v>
      </c>
      <c r="C35" s="199" t="s">
        <v>50</v>
      </c>
      <c r="D35" s="119" t="str">
        <f t="shared" si="0"/>
        <v xml:space="preserve"> 30 min</v>
      </c>
      <c r="E35" s="34">
        <v>6</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157"/>
      <c r="IW35" s="161"/>
      <c r="IX35" s="157"/>
      <c r="IY35" s="157"/>
      <c r="IZ35" s="157"/>
      <c r="JA35" s="157"/>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27</v>
      </c>
      <c r="B36" s="51" t="str">
        <f>IF(LEN(C57)=0,"",C57)</f>
        <v>Doc - Revue du rapport</v>
      </c>
      <c r="C36" s="200"/>
      <c r="D36" s="120" t="str">
        <f t="shared" si="0"/>
        <v>1h 35 min</v>
      </c>
      <c r="E36" s="22">
        <v>19</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24"/>
      <c r="FA36" s="24"/>
      <c r="FB36" s="24"/>
      <c r="FC36" s="24"/>
      <c r="FD36" s="24"/>
      <c r="FE36" s="109"/>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164"/>
      <c r="UI36" s="164"/>
      <c r="UJ36" s="164"/>
      <c r="UK36" s="166"/>
      <c r="UL36" s="164"/>
      <c r="UM36" s="164"/>
      <c r="UN36" s="164"/>
      <c r="UO36" s="164"/>
      <c r="UP36" s="164"/>
      <c r="UQ36" s="167"/>
      <c r="UR36" s="164"/>
      <c r="US36" s="164"/>
      <c r="UT36" s="164"/>
      <c r="UU36" s="164"/>
      <c r="UV36" s="164"/>
      <c r="UW36" s="166"/>
      <c r="UX36" s="164"/>
      <c r="UY36" s="164"/>
      <c r="UZ36" s="16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00000000000001" customHeight="1" x14ac:dyDescent="0.25">
      <c r="A37" s="78" t="s">
        <v>26</v>
      </c>
      <c r="B37" s="51" t="str">
        <f>IF(LEN(C59)=0,"",C59)</f>
        <v>Entretien avec chef de projet</v>
      </c>
      <c r="C37" s="199" t="s">
        <v>51</v>
      </c>
      <c r="D37" s="119" t="str">
        <f t="shared" si="0"/>
        <v>1h 30 min</v>
      </c>
      <c r="E37" s="26">
        <v>18</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154"/>
      <c r="JC37" s="162"/>
      <c r="JD37" s="154"/>
      <c r="JE37" s="154"/>
      <c r="JF37" s="154"/>
      <c r="JG37" s="154"/>
      <c r="JH37" s="154"/>
      <c r="JI37" s="156"/>
      <c r="JJ37" s="154"/>
      <c r="JK37" s="154"/>
      <c r="JL37" s="154"/>
      <c r="JM37" s="154"/>
      <c r="JN37" s="154"/>
      <c r="JO37" s="162"/>
      <c r="JP37" s="154"/>
      <c r="JQ37" s="154"/>
      <c r="JR37" s="154"/>
      <c r="JS37" s="154"/>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27</v>
      </c>
      <c r="B38" s="51" t="str">
        <f>IF(LEN(C61)=0,"",C61)</f>
        <v>Entretien initial expert 1</v>
      </c>
      <c r="C38" s="200"/>
      <c r="D38" s="121" t="str">
        <f t="shared" si="0"/>
        <v>1h 30 min</v>
      </c>
      <c r="E38" s="30">
        <v>18</v>
      </c>
      <c r="F38" s="31"/>
      <c r="G38" s="32"/>
      <c r="H38" s="32"/>
      <c r="I38" s="32"/>
      <c r="J38" s="32"/>
      <c r="K38" s="106"/>
      <c r="L38" s="32"/>
      <c r="M38" s="32"/>
      <c r="N38" s="32"/>
      <c r="O38" s="32"/>
      <c r="P38" s="32"/>
      <c r="Q38" s="111"/>
      <c r="R38" s="32"/>
      <c r="S38" s="32"/>
      <c r="T38" s="32"/>
      <c r="U38" s="32"/>
      <c r="V38" s="32"/>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31"/>
      <c r="BO38" s="32"/>
      <c r="BP38" s="32"/>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31"/>
      <c r="IM38" s="32"/>
      <c r="IN38" s="32"/>
      <c r="IO38" s="32"/>
      <c r="IP38" s="32"/>
      <c r="IQ38" s="106"/>
      <c r="IR38" s="32"/>
      <c r="IS38" s="32"/>
      <c r="IT38" s="32"/>
      <c r="IU38" s="32"/>
      <c r="IV38" s="32"/>
      <c r="IW38" s="111"/>
      <c r="IX38" s="32"/>
      <c r="IY38" s="32"/>
      <c r="IZ38" s="32"/>
      <c r="JA38" s="32"/>
      <c r="JB38" s="32"/>
      <c r="JC38" s="58"/>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32"/>
      <c r="OG38" s="32"/>
      <c r="OH38" s="32"/>
      <c r="OI38" s="32"/>
      <c r="OJ38" s="32"/>
      <c r="OK38" s="111"/>
      <c r="OL38" s="32"/>
      <c r="OM38" s="32"/>
      <c r="ON38" s="32"/>
      <c r="OO38" s="32"/>
      <c r="OP38" s="32"/>
      <c r="OQ38" s="58"/>
      <c r="OR38" s="32"/>
      <c r="OS38" s="32"/>
      <c r="OT38" s="32"/>
      <c r="OU38" s="32"/>
      <c r="OV38" s="32"/>
      <c r="OW38" s="111"/>
      <c r="OX38" s="32"/>
      <c r="OY38" s="32"/>
      <c r="OZ38" s="32"/>
      <c r="PA38" s="32"/>
      <c r="PB38" s="32"/>
      <c r="PC38" s="58"/>
      <c r="PD38" s="32"/>
      <c r="PE38" s="32"/>
      <c r="PF38" s="32"/>
      <c r="PG38" s="32"/>
      <c r="PH38" s="32"/>
      <c r="PI38" s="33"/>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32"/>
      <c r="SQ38" s="32"/>
      <c r="SR38" s="32"/>
      <c r="SS38" s="32"/>
      <c r="ST38" s="32"/>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170"/>
      <c r="WI38" s="168"/>
      <c r="WJ38" s="168"/>
      <c r="WK38" s="168"/>
      <c r="WL38" s="168"/>
      <c r="WM38" s="171"/>
      <c r="WN38" s="168"/>
      <c r="WO38" s="168"/>
      <c r="WP38" s="168"/>
      <c r="WQ38" s="168"/>
      <c r="WR38" s="168"/>
      <c r="WS38" s="172"/>
      <c r="WT38" s="168"/>
      <c r="WU38" s="168"/>
      <c r="WV38" s="168"/>
      <c r="WW38" s="168"/>
      <c r="WX38" s="168"/>
      <c r="WY38" s="169"/>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32"/>
      <c r="BDA38" s="111"/>
      <c r="BDB38" s="32"/>
      <c r="BDC38" s="32"/>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32"/>
      <c r="BHQ38" s="111"/>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00000000000001" customHeight="1" x14ac:dyDescent="0.25">
      <c r="A39" s="78" t="s">
        <v>26</v>
      </c>
      <c r="B39" s="51" t="str">
        <f>IF(LEN(C63)=0,"",C63)</f>
        <v>Frontend - Bases des pages principales</v>
      </c>
      <c r="C39" s="199" t="s">
        <v>52</v>
      </c>
      <c r="D39" s="119" t="str">
        <f t="shared" si="0"/>
        <v>2h 40 min</v>
      </c>
      <c r="E39" s="34">
        <v>32</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159"/>
      <c r="RS39" s="157"/>
      <c r="RT39" s="157"/>
      <c r="RU39" s="157"/>
      <c r="RV39" s="157"/>
      <c r="RW39" s="160"/>
      <c r="RX39" s="157"/>
      <c r="RY39" s="157"/>
      <c r="RZ39" s="157"/>
      <c r="SA39" s="157"/>
      <c r="SB39" s="157"/>
      <c r="SC39" s="161"/>
      <c r="SD39" s="157"/>
      <c r="SE39" s="157"/>
      <c r="SF39" s="157"/>
      <c r="SG39" s="157"/>
      <c r="SH39" s="157"/>
      <c r="SI39" s="158"/>
      <c r="SJ39" s="157"/>
      <c r="SK39" s="157"/>
      <c r="SL39" s="157"/>
      <c r="SM39" s="157"/>
      <c r="SN39" s="157"/>
      <c r="SO39" s="161"/>
      <c r="SP39" s="157"/>
      <c r="SQ39" s="157"/>
      <c r="SR39" s="157"/>
      <c r="SS39" s="157"/>
      <c r="ST39" s="157"/>
      <c r="SU39" s="158"/>
      <c r="SV39" s="157"/>
      <c r="SW39" s="157"/>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27</v>
      </c>
      <c r="B40" s="51" t="str">
        <f>IF(LEN(C65)=0,"",C65)</f>
        <v>Frontend - Détails/revue et finalisastions</v>
      </c>
      <c r="C40" s="201"/>
      <c r="D40" s="120" t="str">
        <f t="shared" si="0"/>
        <v>1h</v>
      </c>
      <c r="E40" s="22">
        <v>12</v>
      </c>
      <c r="F40" s="23"/>
      <c r="G40" s="24"/>
      <c r="H40" s="24"/>
      <c r="I40" s="24"/>
      <c r="J40" s="24"/>
      <c r="K40" s="104"/>
      <c r="L40" s="24"/>
      <c r="M40" s="24"/>
      <c r="N40" s="24"/>
      <c r="O40" s="24"/>
      <c r="P40" s="24"/>
      <c r="Q40" s="109"/>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164"/>
      <c r="ZU40" s="164"/>
      <c r="ZV40" s="164"/>
      <c r="ZW40" s="164"/>
      <c r="ZX40" s="16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163"/>
      <c r="AAY40" s="164"/>
      <c r="AAZ40" s="164"/>
      <c r="ABA40" s="164"/>
      <c r="ABB40" s="164"/>
      <c r="ABC40" s="165"/>
      <c r="ABD40" s="16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00000000000001" customHeight="1" x14ac:dyDescent="0.25">
      <c r="A41" s="78" t="s">
        <v>26</v>
      </c>
      <c r="B41" s="51" t="str">
        <f>IF(LEN(C67)=0,"",C67)</f>
        <v>Frontend - gestion des erreurs</v>
      </c>
      <c r="C41" s="199" t="s">
        <v>53</v>
      </c>
      <c r="D41" s="119" t="str">
        <f t="shared" si="0"/>
        <v>4h 5 min</v>
      </c>
      <c r="E41" s="26">
        <v>49</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154"/>
      <c r="UG41" s="154"/>
      <c r="UH41" s="154"/>
      <c r="UI41" s="154"/>
      <c r="UJ41" s="154"/>
      <c r="UK41" s="156"/>
      <c r="UL41" s="154"/>
      <c r="UM41" s="154"/>
      <c r="UN41" s="154"/>
      <c r="UO41" s="154"/>
      <c r="UP41" s="154"/>
      <c r="UQ41" s="162"/>
      <c r="UR41" s="154"/>
      <c r="US41" s="154"/>
      <c r="UT41" s="154"/>
      <c r="UU41" s="154"/>
      <c r="UV41" s="154"/>
      <c r="UW41" s="156"/>
      <c r="UX41" s="154"/>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53"/>
      <c r="WI41" s="154"/>
      <c r="WJ41" s="154"/>
      <c r="WK41" s="154"/>
      <c r="WL41" s="154"/>
      <c r="WM41" s="155"/>
      <c r="WN41" s="154"/>
      <c r="WO41" s="154"/>
      <c r="WP41" s="154"/>
      <c r="WQ41" s="154"/>
      <c r="WR41" s="154"/>
      <c r="WS41" s="156"/>
      <c r="WT41" s="154"/>
      <c r="WU41" s="154"/>
      <c r="WV41" s="154"/>
      <c r="WW41" s="154"/>
      <c r="WX41" s="154"/>
      <c r="WY41" s="162"/>
      <c r="WZ41" s="154"/>
      <c r="XA41" s="154"/>
      <c r="XB41" s="154"/>
      <c r="XC41" s="154"/>
      <c r="XD41" s="154"/>
      <c r="XE41" s="156"/>
      <c r="XF41" s="154"/>
      <c r="XG41" s="154"/>
      <c r="XH41" s="154"/>
      <c r="XI41" s="154"/>
      <c r="XJ41" s="154"/>
      <c r="XK41" s="162"/>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27</v>
      </c>
      <c r="B42" s="51" t="str">
        <f>IF(LEN(C69)=0,"",C69)</f>
        <v>Frontend - Initialisation structure Angular</v>
      </c>
      <c r="C42" s="200"/>
      <c r="D42" s="121" t="str">
        <f t="shared" si="0"/>
        <v xml:space="preserve"> 40 min</v>
      </c>
      <c r="E42" s="30">
        <v>8</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32"/>
      <c r="HE42" s="32"/>
      <c r="HF42" s="32"/>
      <c r="HG42" s="58"/>
      <c r="HH42" s="32"/>
      <c r="HI42" s="32"/>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32"/>
      <c r="JK42" s="32"/>
      <c r="JL42" s="32"/>
      <c r="JM42" s="32"/>
      <c r="JN42" s="32"/>
      <c r="JO42" s="58"/>
      <c r="JP42" s="32"/>
      <c r="JQ42" s="32"/>
      <c r="JR42" s="32"/>
      <c r="JS42" s="32"/>
      <c r="JT42" s="32"/>
      <c r="JU42" s="111"/>
      <c r="JV42" s="32"/>
      <c r="JW42" s="32"/>
      <c r="JX42" s="32"/>
      <c r="JY42" s="32"/>
      <c r="JZ42" s="32"/>
      <c r="KA42" s="58"/>
      <c r="KB42" s="32"/>
      <c r="KC42" s="32"/>
      <c r="KD42" s="32"/>
      <c r="KE42" s="32"/>
      <c r="KF42" s="32"/>
      <c r="KG42" s="111"/>
      <c r="KH42" s="32"/>
      <c r="KI42" s="32"/>
      <c r="KJ42" s="32"/>
      <c r="KK42" s="32"/>
      <c r="KL42" s="32"/>
      <c r="KM42" s="58"/>
      <c r="KN42" s="32"/>
      <c r="KO42" s="32"/>
      <c r="KP42" s="32"/>
      <c r="KQ42" s="32"/>
      <c r="KR42" s="32"/>
      <c r="KS42" s="33"/>
      <c r="KT42" s="31"/>
      <c r="KU42" s="32"/>
      <c r="KV42" s="32"/>
      <c r="KW42" s="32"/>
      <c r="KX42" s="32"/>
      <c r="KY42" s="106"/>
      <c r="KZ42" s="32"/>
      <c r="LA42" s="32"/>
      <c r="LB42" s="32"/>
      <c r="LC42" s="32"/>
      <c r="LD42" s="32"/>
      <c r="LE42" s="111"/>
      <c r="LF42" s="32"/>
      <c r="LG42" s="32"/>
      <c r="LH42" s="32"/>
      <c r="LI42" s="32"/>
      <c r="LJ42" s="32"/>
      <c r="LK42" s="58"/>
      <c r="LL42" s="32"/>
      <c r="LM42" s="32"/>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31"/>
      <c r="NC42" s="32"/>
      <c r="ND42" s="32"/>
      <c r="NE42" s="32"/>
      <c r="NF42" s="32"/>
      <c r="NG42" s="106"/>
      <c r="NH42" s="32"/>
      <c r="NI42" s="32"/>
      <c r="NJ42" s="32"/>
      <c r="NK42" s="32"/>
      <c r="NL42" s="32"/>
      <c r="NM42" s="111"/>
      <c r="NN42" s="32"/>
      <c r="NO42" s="32"/>
      <c r="NP42" s="32"/>
      <c r="NQ42" s="32"/>
      <c r="NR42" s="32"/>
      <c r="NS42" s="58"/>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168"/>
      <c r="ADM42" s="168"/>
      <c r="ADN42" s="168"/>
      <c r="ADO42" s="168"/>
      <c r="ADP42" s="168"/>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170"/>
      <c r="AFO42" s="168"/>
      <c r="AFP42" s="168"/>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00000000000001" customHeight="1" x14ac:dyDescent="0.25">
      <c r="A43" s="78" t="s">
        <v>26</v>
      </c>
      <c r="B43" s="51" t="str">
        <f>IF(LEN(C71)=0,"",C71)</f>
        <v>Frontend - Interfaces admin / Gestion profil</v>
      </c>
      <c r="C43" s="199" t="s">
        <v>54</v>
      </c>
      <c r="D43" s="119" t="str">
        <f t="shared" si="0"/>
        <v>1h</v>
      </c>
      <c r="E43" s="26">
        <v>12</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154"/>
      <c r="SY43" s="154"/>
      <c r="SZ43" s="154"/>
      <c r="TA43" s="156"/>
      <c r="TB43" s="154"/>
      <c r="TC43" s="154"/>
      <c r="TD43" s="28"/>
      <c r="TE43" s="28"/>
      <c r="TF43" s="28"/>
      <c r="TG43" s="57"/>
      <c r="TH43" s="28"/>
      <c r="TI43" s="28"/>
      <c r="TJ43" s="28"/>
      <c r="TK43" s="28"/>
      <c r="TL43" s="28"/>
      <c r="TM43" s="110"/>
      <c r="TN43" s="28"/>
      <c r="TO43" s="28"/>
      <c r="TP43" s="28"/>
      <c r="TQ43" s="28"/>
      <c r="TR43" s="28"/>
      <c r="TS43" s="57"/>
      <c r="TT43" s="28"/>
      <c r="TU43" s="28"/>
      <c r="TV43" s="28"/>
      <c r="TW43" s="28"/>
      <c r="TX43" s="28"/>
      <c r="TY43" s="29"/>
      <c r="TZ43" s="153"/>
      <c r="UA43" s="154"/>
      <c r="UB43" s="154"/>
      <c r="UC43" s="154"/>
      <c r="UD43" s="154"/>
      <c r="UE43" s="15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27</v>
      </c>
      <c r="B44" s="51" t="str">
        <f>IF(LEN(C73)=0,"",C73)</f>
        <v>Frontend - interfaces CRUD (films, citations etc)</v>
      </c>
      <c r="C44" s="201"/>
      <c r="D44" s="121" t="str">
        <f t="shared" si="0"/>
        <v xml:space="preserve"> 40 min</v>
      </c>
      <c r="E44" s="30">
        <v>8</v>
      </c>
      <c r="F44" s="31"/>
      <c r="G44" s="32"/>
      <c r="H44" s="32"/>
      <c r="I44" s="32"/>
      <c r="J44" s="32"/>
      <c r="K44" s="106"/>
      <c r="L44" s="32"/>
      <c r="M44" s="32"/>
      <c r="N44" s="32"/>
      <c r="O44" s="32"/>
      <c r="P44" s="32"/>
      <c r="Q44" s="111"/>
      <c r="R44" s="32"/>
      <c r="S44" s="32"/>
      <c r="T44" s="32"/>
      <c r="U44" s="32"/>
      <c r="V44" s="32"/>
      <c r="W44" s="58"/>
      <c r="X44" s="32"/>
      <c r="Y44" s="32"/>
      <c r="Z44" s="32"/>
      <c r="AA44" s="32"/>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168"/>
      <c r="ACC44" s="168"/>
      <c r="ACD44" s="168"/>
      <c r="ACE44" s="168"/>
      <c r="ACF44" s="168"/>
      <c r="ACG44" s="172"/>
      <c r="ACH44" s="168"/>
      <c r="ACI44" s="168"/>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32"/>
      <c r="BHV44" s="32"/>
      <c r="BHW44" s="58"/>
      <c r="BHX44" s="32"/>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00000000000001" customHeight="1" x14ac:dyDescent="0.25">
      <c r="A45" s="78" t="s">
        <v>26</v>
      </c>
      <c r="B45" s="51" t="str">
        <f>IF(LEN(C75)=0,"",C75)</f>
        <v>Frontend - Login/Signup</v>
      </c>
      <c r="C45" s="199" t="s">
        <v>55</v>
      </c>
      <c r="D45" s="119" t="str">
        <f t="shared" si="0"/>
        <v>1h 20 min</v>
      </c>
      <c r="E45" s="34">
        <v>16</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157"/>
      <c r="ARG45" s="160"/>
      <c r="ARH45" s="157"/>
      <c r="ARI45" s="157"/>
      <c r="ARJ45" s="157"/>
      <c r="ARK45" s="157"/>
      <c r="ARL45" s="157"/>
      <c r="ARM45" s="161"/>
      <c r="ARN45" s="157"/>
      <c r="ARO45" s="157"/>
      <c r="ARP45" s="157"/>
      <c r="ARQ45" s="157"/>
      <c r="ARR45" s="157"/>
      <c r="ARS45" s="158"/>
      <c r="ART45" s="157"/>
      <c r="ARU45" s="157"/>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27</v>
      </c>
      <c r="B46" s="51" t="str">
        <f>IF(LEN(C77)=0,"",C77)</f>
        <v>Frontend - Page d'accueil</v>
      </c>
      <c r="C46" s="200"/>
      <c r="D46" s="120" t="str">
        <f t="shared" si="0"/>
        <v/>
      </c>
      <c r="E46" s="30">
        <v>0</v>
      </c>
      <c r="F46" s="31"/>
      <c r="G46" s="32"/>
      <c r="H46" s="32"/>
      <c r="I46" s="32"/>
      <c r="J46" s="32"/>
      <c r="K46" s="106"/>
      <c r="L46" s="32"/>
      <c r="M46" s="32"/>
      <c r="N46" s="32"/>
      <c r="O46" s="32"/>
      <c r="P46" s="32"/>
      <c r="Q46" s="111"/>
      <c r="R46" s="32"/>
      <c r="S46" s="32"/>
      <c r="T46" s="32"/>
      <c r="U46" s="32"/>
      <c r="V46" s="32"/>
      <c r="W46" s="58"/>
      <c r="X46" s="32"/>
      <c r="Y46" s="32"/>
      <c r="Z46" s="32"/>
      <c r="AA46" s="32"/>
      <c r="AB46" s="32"/>
      <c r="AC46" s="11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31"/>
      <c r="BO46" s="32"/>
      <c r="BP46" s="32"/>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32"/>
      <c r="HM46" s="11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31"/>
      <c r="KU46" s="32"/>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00000000000001" customHeight="1" x14ac:dyDescent="0.25">
      <c r="A47" s="78" t="s">
        <v>26</v>
      </c>
      <c r="B47" s="51" t="str">
        <f>IF(LEN(C79)=0,"",C79)</f>
        <v>Initialisation repo Github</v>
      </c>
      <c r="C47" s="199" t="s">
        <v>56</v>
      </c>
      <c r="D47" s="119" t="str">
        <f t="shared" si="0"/>
        <v>1h</v>
      </c>
      <c r="E47" s="34">
        <v>12</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157"/>
      <c r="AQI47" s="158"/>
      <c r="AQJ47" s="157"/>
      <c r="AQK47" s="157"/>
      <c r="AQL47" s="157"/>
      <c r="AQM47" s="157"/>
      <c r="AQN47" s="157"/>
      <c r="AQO47" s="161"/>
      <c r="AQP47" s="36"/>
      <c r="AQQ47" s="36"/>
      <c r="AQR47" s="36"/>
      <c r="AQS47" s="36"/>
      <c r="AQT47" s="36"/>
      <c r="AQU47" s="59"/>
      <c r="AQV47" s="36"/>
      <c r="AQW47" s="36"/>
      <c r="AQX47" s="36"/>
      <c r="AQY47" s="36"/>
      <c r="AQZ47" s="36"/>
      <c r="ARA47" s="37"/>
      <c r="ARB47" s="159"/>
      <c r="ARC47" s="157"/>
      <c r="ARD47" s="157"/>
      <c r="ARE47" s="157"/>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27</v>
      </c>
      <c r="B48" s="51" t="str">
        <f>IF(LEN(C81)=0,"",C81)</f>
        <v>Préparation livrable et envoi final</v>
      </c>
      <c r="C48" s="201"/>
      <c r="D48" s="121" t="str">
        <f t="shared" si="0"/>
        <v/>
      </c>
      <c r="E48" s="22">
        <v>0</v>
      </c>
      <c r="F48" s="23"/>
      <c r="G48" s="24"/>
      <c r="H48" s="24"/>
      <c r="I48" s="24"/>
      <c r="J48" s="24"/>
      <c r="K48" s="104"/>
      <c r="L48" s="24"/>
      <c r="M48" s="24"/>
      <c r="N48" s="24"/>
      <c r="O48" s="24"/>
      <c r="P48" s="24"/>
      <c r="Q48" s="109"/>
      <c r="R48" s="24"/>
      <c r="S48" s="24"/>
      <c r="T48" s="24"/>
      <c r="U48" s="24"/>
      <c r="V48" s="24"/>
      <c r="W48" s="56"/>
      <c r="X48" s="24"/>
      <c r="Y48" s="24"/>
      <c r="Z48" s="24"/>
      <c r="AA48" s="24"/>
      <c r="AB48" s="24"/>
      <c r="AC48" s="109"/>
      <c r="AD48" s="24"/>
      <c r="AE48" s="24"/>
      <c r="AF48" s="24"/>
      <c r="AG48" s="24"/>
      <c r="AH48" s="24"/>
      <c r="AI48" s="56"/>
      <c r="AJ48" s="24"/>
      <c r="AK48" s="24"/>
      <c r="AL48" s="24"/>
      <c r="AM48" s="24"/>
      <c r="AN48" s="24"/>
      <c r="AO48" s="109"/>
      <c r="AP48" s="24"/>
      <c r="AQ48" s="24"/>
      <c r="AR48" s="24"/>
      <c r="AS48" s="24"/>
      <c r="AT48" s="24"/>
      <c r="AU48" s="56"/>
      <c r="AV48" s="24"/>
      <c r="AW48" s="24"/>
      <c r="AX48" s="24"/>
      <c r="AY48" s="24"/>
      <c r="AZ48" s="24"/>
      <c r="BA48" s="109"/>
      <c r="BB48" s="24"/>
      <c r="BC48" s="24"/>
      <c r="BD48" s="24"/>
      <c r="BE48" s="24"/>
      <c r="BF48" s="24"/>
      <c r="BG48" s="56"/>
      <c r="BH48" s="24"/>
      <c r="BI48" s="24"/>
      <c r="BJ48" s="24"/>
      <c r="BK48" s="24"/>
      <c r="BL48" s="24"/>
      <c r="BM48" s="25"/>
      <c r="BN48" s="23"/>
      <c r="BO48" s="24"/>
      <c r="BP48" s="24"/>
      <c r="BQ48" s="24"/>
      <c r="BR48" s="24"/>
      <c r="BS48" s="104"/>
      <c r="BT48" s="24"/>
      <c r="BU48" s="24"/>
      <c r="BV48" s="24"/>
      <c r="BW48" s="24"/>
      <c r="BX48" s="24"/>
      <c r="BY48" s="109"/>
      <c r="BZ48" s="24"/>
      <c r="CA48" s="24"/>
      <c r="CB48" s="24"/>
      <c r="CC48" s="24"/>
      <c r="CD48" s="24"/>
      <c r="CE48" s="56"/>
      <c r="CF48" s="24"/>
      <c r="CG48" s="24"/>
      <c r="CH48" s="24"/>
      <c r="CI48" s="24"/>
      <c r="CJ48" s="24"/>
      <c r="CK48" s="109"/>
      <c r="CL48" s="24"/>
      <c r="CM48" s="24"/>
      <c r="CN48" s="24"/>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24"/>
      <c r="HO48" s="24"/>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24"/>
      <c r="KW48" s="24"/>
      <c r="KX48" s="24"/>
      <c r="KY48" s="104"/>
      <c r="KZ48" s="24"/>
      <c r="LA48" s="24"/>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24"/>
      <c r="BAR48" s="24"/>
      <c r="BAS48" s="109"/>
      <c r="BAT48" s="24"/>
      <c r="BAU48" s="24"/>
      <c r="BAV48" s="24"/>
      <c r="BAW48" s="24"/>
      <c r="BAX48" s="24"/>
      <c r="BAY48" s="56"/>
      <c r="BAZ48" s="24"/>
      <c r="BBA48" s="24"/>
      <c r="BBB48" s="24"/>
      <c r="BBC48" s="24"/>
      <c r="BBD48" s="24"/>
      <c r="BBE48" s="109"/>
      <c r="BBF48" s="24"/>
      <c r="BBG48" s="24"/>
      <c r="BBH48" s="24"/>
      <c r="BBI48" s="24"/>
      <c r="BBJ48" s="24"/>
      <c r="BBK48" s="56"/>
      <c r="BBL48" s="24"/>
      <c r="BBM48" s="24"/>
      <c r="BBN48" s="24"/>
      <c r="BBO48" s="24"/>
      <c r="BBP48" s="24"/>
      <c r="BBQ48" s="109"/>
      <c r="BBR48" s="24"/>
      <c r="BBS48" s="24"/>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23"/>
      <c r="BCQ48" s="24"/>
      <c r="BCR48" s="24"/>
      <c r="BCS48" s="24"/>
      <c r="BCT48" s="24"/>
      <c r="BCU48" s="104"/>
      <c r="BCV48" s="24"/>
      <c r="BCW48" s="24"/>
      <c r="BCX48" s="24"/>
      <c r="BCY48" s="24"/>
      <c r="BCZ48" s="24"/>
      <c r="BDA48" s="109"/>
      <c r="BDB48" s="24"/>
      <c r="BDC48" s="24"/>
      <c r="BDD48" s="24"/>
      <c r="BDE48" s="24"/>
      <c r="BDF48" s="24"/>
      <c r="BDG48" s="56"/>
      <c r="BDH48" s="24"/>
      <c r="BDI48" s="24"/>
      <c r="BDJ48" s="24"/>
      <c r="BDK48" s="24"/>
      <c r="BDL48" s="24"/>
      <c r="BDM48" s="109"/>
      <c r="BDN48" s="24"/>
      <c r="BDO48" s="24"/>
      <c r="BDP48" s="24"/>
      <c r="BDQ48" s="24"/>
      <c r="BDR48" s="24"/>
      <c r="BDS48" s="56"/>
      <c r="BDT48" s="24"/>
      <c r="BDU48" s="24"/>
      <c r="BDV48" s="24"/>
      <c r="BDW48" s="24"/>
      <c r="BDX48" s="24"/>
      <c r="BDY48" s="109"/>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23"/>
      <c r="BEY48" s="24"/>
      <c r="BEZ48" s="24"/>
      <c r="BFA48" s="24"/>
      <c r="BFB48" s="24"/>
      <c r="BFC48" s="104"/>
      <c r="BFD48" s="24"/>
      <c r="BFE48" s="24"/>
      <c r="BFF48" s="24"/>
      <c r="BFG48" s="24"/>
      <c r="BFH48" s="24"/>
      <c r="BFI48" s="109"/>
      <c r="BFJ48" s="24"/>
      <c r="BFK48" s="24"/>
      <c r="BFL48" s="24"/>
      <c r="BFM48" s="24"/>
      <c r="BFN48" s="24"/>
      <c r="BFO48" s="56"/>
      <c r="BFP48" s="24"/>
      <c r="BFQ48" s="24"/>
      <c r="BFR48" s="24"/>
      <c r="BFS48" s="24"/>
      <c r="BFT48" s="24"/>
      <c r="BFU48" s="109"/>
      <c r="BFV48" s="24"/>
      <c r="BFW48" s="24"/>
      <c r="BFX48" s="24"/>
      <c r="BFY48" s="24"/>
      <c r="BFZ48" s="24"/>
      <c r="BGA48" s="56"/>
      <c r="BGB48" s="24"/>
      <c r="BGC48" s="24"/>
      <c r="BGD48" s="24"/>
      <c r="BGE48" s="24"/>
      <c r="BGF48" s="24"/>
      <c r="BGG48" s="109"/>
      <c r="BGH48" s="24"/>
      <c r="BGI48" s="24"/>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23"/>
      <c r="BHG48" s="24"/>
      <c r="BHH48" s="24"/>
      <c r="BHI48" s="24"/>
      <c r="BHJ48" s="24"/>
      <c r="BHK48" s="104"/>
      <c r="BHL48" s="24"/>
      <c r="BHM48" s="24"/>
      <c r="BHN48" s="24"/>
      <c r="BHO48" s="24"/>
      <c r="BHP48" s="24"/>
      <c r="BHQ48" s="109"/>
      <c r="BHR48" s="24"/>
      <c r="BHS48" s="24"/>
      <c r="BHT48" s="24"/>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00000000000001" customHeight="1" x14ac:dyDescent="0.25">
      <c r="A49" s="78" t="s">
        <v>26</v>
      </c>
      <c r="B49" s="51" t="str">
        <f>IF(LEN(C83)=0,"",C83)</f>
        <v>Test - Unitaire &amp; Intégration</v>
      </c>
      <c r="C49" s="199" t="s">
        <v>57</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154"/>
      <c r="APT49" s="154"/>
      <c r="APU49" s="154"/>
      <c r="APV49" s="154"/>
      <c r="APW49" s="162"/>
      <c r="APX49" s="154"/>
      <c r="APY49" s="154"/>
      <c r="APZ49" s="154"/>
      <c r="AQA49" s="154"/>
      <c r="AQB49" s="154"/>
      <c r="AQC49" s="156"/>
      <c r="AQD49" s="154"/>
      <c r="AQE49" s="154"/>
      <c r="AQF49" s="154"/>
      <c r="AQG49" s="154"/>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27</v>
      </c>
      <c r="B50" s="51" t="str">
        <f>IF(LEN(C85)=0,"",C85)</f>
        <v>UX/UI - Maquettes FIGMA / Charte graphique</v>
      </c>
      <c r="C50" s="200"/>
      <c r="D50" s="121" t="str">
        <f t="shared" si="0"/>
        <v/>
      </c>
      <c r="E50" s="30">
        <v>0</v>
      </c>
      <c r="F50" s="31"/>
      <c r="G50" s="32"/>
      <c r="H50" s="32"/>
      <c r="I50" s="32"/>
      <c r="J50" s="32"/>
      <c r="K50" s="106"/>
      <c r="L50" s="32"/>
      <c r="M50" s="32"/>
      <c r="N50" s="32"/>
      <c r="O50" s="32"/>
      <c r="P50" s="32"/>
      <c r="Q50" s="11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31"/>
      <c r="DW50" s="32"/>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31"/>
      <c r="PK50" s="32"/>
      <c r="PL50" s="32"/>
      <c r="PM50" s="32"/>
      <c r="PN50" s="32"/>
      <c r="PO50" s="106"/>
      <c r="PP50" s="32"/>
      <c r="PQ50" s="32"/>
      <c r="PR50" s="32"/>
      <c r="PS50" s="32"/>
      <c r="PT50" s="32"/>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00000000000001" customHeight="1" x14ac:dyDescent="0.25">
      <c r="A51" s="78" t="s">
        <v>26</v>
      </c>
      <c r="B51" s="51" t="str">
        <f>IF(LEN(C87)=0,"",C87)</f>
        <v>Visite expert 2</v>
      </c>
      <c r="C51" s="199" t="s">
        <v>58</v>
      </c>
      <c r="D51" s="119" t="str">
        <f t="shared" si="0"/>
        <v>2h 40 min</v>
      </c>
      <c r="E51" s="34">
        <v>32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157"/>
      <c r="ARW51" s="157"/>
      <c r="ARX51" s="157"/>
      <c r="ARY51" s="161"/>
      <c r="ARZ51" s="157"/>
      <c r="ASA51" s="157"/>
      <c r="ASB51" s="157"/>
      <c r="ASC51" s="157"/>
      <c r="ASD51" s="157"/>
      <c r="ASE51" s="158"/>
      <c r="ASF51" s="157"/>
      <c r="ASG51" s="157"/>
      <c r="ASH51" s="157"/>
      <c r="ASI51" s="157"/>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159"/>
      <c r="ATK51" s="157"/>
      <c r="ATL51" s="157"/>
      <c r="ATM51" s="157"/>
      <c r="ATN51" s="157"/>
      <c r="ATO51" s="160"/>
      <c r="ATP51" s="157"/>
      <c r="ATQ51" s="157"/>
      <c r="ATR51" s="157"/>
      <c r="ATS51" s="157"/>
      <c r="ATT51" s="157"/>
      <c r="ATU51" s="161"/>
      <c r="ATV51" s="157"/>
      <c r="ATW51" s="157"/>
      <c r="ATX51" s="157"/>
      <c r="ATY51" s="157"/>
      <c r="ATZ51" s="157"/>
      <c r="AUA51" s="158"/>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27</v>
      </c>
      <c r="B52" s="51" t="str">
        <f>IF(LEN(C89)=0,"",C89)</f>
        <v/>
      </c>
      <c r="C52" s="200"/>
      <c r="D52" s="120" t="str">
        <f t="shared" si="0"/>
        <v/>
      </c>
      <c r="E52" s="22">
        <v>0</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24"/>
      <c r="NW52" s="24"/>
      <c r="NX52" s="24"/>
      <c r="NY52" s="109"/>
      <c r="NZ52" s="24"/>
      <c r="OA52" s="24"/>
      <c r="OB52" s="24"/>
      <c r="OC52" s="24"/>
      <c r="OD52" s="24"/>
      <c r="OE52" s="58"/>
      <c r="OF52" s="24"/>
      <c r="OG52" s="24"/>
      <c r="OH52" s="24"/>
      <c r="OI52" s="24"/>
      <c r="OJ52" s="24"/>
      <c r="OK52" s="109"/>
      <c r="OL52" s="24"/>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09"/>
      <c r="PV52" s="24"/>
      <c r="PW52" s="24"/>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00000000000001" customHeight="1" x14ac:dyDescent="0.25">
      <c r="A53" s="78" t="s">
        <v>26</v>
      </c>
      <c r="B53" s="51" t="str">
        <f>IF(LEN(C91)=0,"",C91)</f>
        <v/>
      </c>
      <c r="C53" s="199" t="s">
        <v>29</v>
      </c>
      <c r="D53" s="119" t="str">
        <f t="shared" si="0"/>
        <v>3h 40 min</v>
      </c>
      <c r="E53" s="26">
        <v>44</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154"/>
      <c r="CP53" s="154"/>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56"/>
      <c r="HN53" s="154"/>
      <c r="HO53" s="154"/>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56"/>
      <c r="MD53" s="154"/>
      <c r="ME53" s="154"/>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56"/>
      <c r="QT53" s="154"/>
      <c r="QU53" s="154"/>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154"/>
      <c r="UZ53" s="154"/>
      <c r="VA53" s="154"/>
      <c r="VB53" s="154"/>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154"/>
      <c r="AAA53" s="154"/>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154"/>
      <c r="AEF53" s="154"/>
      <c r="AEG53" s="154"/>
      <c r="AEH53" s="154"/>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154"/>
      <c r="AJE53" s="156"/>
      <c r="AJF53" s="154"/>
      <c r="AJG53" s="154"/>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154"/>
      <c r="ANU53" s="156"/>
      <c r="ANV53" s="154"/>
      <c r="ANW53" s="154"/>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154"/>
      <c r="ASK53" s="156"/>
      <c r="ASL53" s="154"/>
      <c r="ASM53" s="154"/>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154"/>
      <c r="AXA53" s="156"/>
      <c r="AXB53" s="154"/>
      <c r="AXC53" s="154"/>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56"/>
      <c r="BBR53" s="154"/>
      <c r="BBS53" s="154"/>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154"/>
      <c r="BGG53" s="156"/>
      <c r="BGH53" s="154"/>
      <c r="BGI53" s="154"/>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27</v>
      </c>
      <c r="B54" s="51" t="str">
        <f>IF(LEN(C93)=0,"",C93)</f>
        <v/>
      </c>
      <c r="C54" s="201"/>
      <c r="D54" s="121" t="str">
        <f t="shared" si="0"/>
        <v>1h 40 min</v>
      </c>
      <c r="E54" s="30">
        <v>20</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168"/>
      <c r="CN54" s="168"/>
      <c r="CO54" s="168"/>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168"/>
      <c r="HD54" s="168"/>
      <c r="HE54" s="168"/>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168"/>
      <c r="ME54" s="168"/>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168"/>
      <c r="QU54" s="168"/>
      <c r="QV54" s="32"/>
      <c r="QW54" s="32"/>
      <c r="QX54" s="32"/>
      <c r="QY54" s="58"/>
      <c r="QZ54" s="32"/>
      <c r="RA54" s="32"/>
      <c r="RB54" s="32"/>
      <c r="RC54" s="32"/>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58"/>
      <c r="SV54" s="32"/>
      <c r="SW54" s="32"/>
      <c r="SX54" s="32"/>
      <c r="SY54" s="32"/>
      <c r="SZ54" s="32"/>
      <c r="TA54" s="111"/>
      <c r="TB54" s="168"/>
      <c r="TC54" s="168"/>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32"/>
      <c r="UJ54" s="32"/>
      <c r="UK54" s="111"/>
      <c r="UL54" s="32"/>
      <c r="UM54" s="32"/>
      <c r="UN54" s="32"/>
      <c r="UO54" s="32"/>
      <c r="UP54" s="32"/>
      <c r="UQ54" s="58"/>
      <c r="UR54" s="32"/>
      <c r="US54" s="32"/>
      <c r="UT54" s="32"/>
      <c r="UU54" s="32"/>
      <c r="UV54" s="32"/>
      <c r="UW54" s="111"/>
      <c r="UX54" s="32"/>
      <c r="UY54" s="32"/>
      <c r="UZ54" s="32"/>
      <c r="VA54" s="168"/>
      <c r="VB54" s="168"/>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72"/>
      <c r="ZZ54" s="168"/>
      <c r="AAA54" s="168"/>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168"/>
      <c r="AEG54" s="168"/>
      <c r="AEH54" s="168"/>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32"/>
      <c r="AYO54" s="32"/>
      <c r="AYP54" s="32"/>
      <c r="AYQ54" s="58"/>
      <c r="AYR54" s="32"/>
      <c r="AYS54" s="32"/>
      <c r="AYT54" s="32"/>
      <c r="AYU54" s="32"/>
      <c r="AYV54" s="32"/>
      <c r="AYW54" s="111"/>
      <c r="AYX54" s="32"/>
      <c r="AYY54" s="32"/>
      <c r="AYZ54" s="32"/>
      <c r="AZA54" s="32"/>
      <c r="AZB54" s="32"/>
      <c r="AZC54" s="58"/>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31"/>
      <c r="BAI54" s="32"/>
      <c r="BAJ54" s="32"/>
      <c r="BAK54" s="32"/>
      <c r="BAL54" s="32"/>
      <c r="BAM54" s="106"/>
      <c r="BAN54" s="32"/>
      <c r="BAO54" s="32"/>
      <c r="BAP54" s="32"/>
      <c r="BAQ54" s="32"/>
      <c r="BAR54" s="32"/>
      <c r="BAS54" s="111"/>
      <c r="BAT54" s="32"/>
      <c r="BAU54" s="32"/>
      <c r="BAV54" s="32"/>
      <c r="BAW54" s="32"/>
      <c r="BAX54" s="32"/>
      <c r="BAY54" s="58"/>
      <c r="BAZ54" s="32"/>
      <c r="BBA54" s="32"/>
      <c r="BBB54" s="32"/>
      <c r="BBC54" s="32"/>
      <c r="BBD54" s="32"/>
      <c r="BBE54" s="111"/>
      <c r="BBF54" s="32"/>
      <c r="BBG54" s="32"/>
      <c r="BBH54" s="32"/>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00000000000001" customHeight="1" x14ac:dyDescent="0.25">
      <c r="A55" s="78" t="s">
        <v>26</v>
      </c>
      <c r="B55" s="51"/>
      <c r="C55" s="199" t="s">
        <v>30</v>
      </c>
      <c r="D55" s="119" t="str">
        <f t="shared" si="0"/>
        <v>16h 35 min</v>
      </c>
      <c r="E55" s="34">
        <v>199</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159"/>
      <c r="DW55" s="157"/>
      <c r="DX55" s="157"/>
      <c r="DY55" s="157"/>
      <c r="DZ55" s="157"/>
      <c r="EA55" s="160"/>
      <c r="EB55" s="157"/>
      <c r="EC55" s="157"/>
      <c r="ED55" s="157"/>
      <c r="EE55" s="157"/>
      <c r="EF55" s="157"/>
      <c r="EG55" s="161"/>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159"/>
      <c r="IM55" s="157"/>
      <c r="IN55" s="157"/>
      <c r="IO55" s="157"/>
      <c r="IP55" s="157"/>
      <c r="IQ55" s="160"/>
      <c r="IR55" s="157"/>
      <c r="IS55" s="157"/>
      <c r="IT55" s="157"/>
      <c r="IU55" s="157"/>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157"/>
      <c r="QJ55" s="157"/>
      <c r="QK55" s="157"/>
      <c r="QL55" s="157"/>
      <c r="QM55" s="158"/>
      <c r="QN55" s="157"/>
      <c r="QO55" s="157"/>
      <c r="QP55" s="157"/>
      <c r="QQ55" s="157"/>
      <c r="QR55" s="157"/>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157"/>
      <c r="YW55" s="157"/>
      <c r="YX55" s="157"/>
      <c r="YY55" s="157"/>
      <c r="YZ55" s="157"/>
      <c r="ZA55" s="161"/>
      <c r="ZB55" s="157"/>
      <c r="ZC55" s="157"/>
      <c r="ZD55" s="157"/>
      <c r="ZE55" s="157"/>
      <c r="ZF55" s="157"/>
      <c r="ZG55" s="158"/>
      <c r="ZH55" s="157"/>
      <c r="ZI55" s="157"/>
      <c r="ZJ55" s="157"/>
      <c r="ZK55" s="157"/>
      <c r="ZL55" s="157"/>
      <c r="ZM55" s="161"/>
      <c r="ZN55" s="157"/>
      <c r="ZO55" s="157"/>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35"/>
      <c r="ADG55" s="36"/>
      <c r="ADH55" s="36"/>
      <c r="ADI55" s="36"/>
      <c r="ADJ55" s="36"/>
      <c r="ADK55" s="107"/>
      <c r="ADL55" s="36"/>
      <c r="ADM55" s="36"/>
      <c r="ADN55" s="36"/>
      <c r="ADO55" s="36"/>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60"/>
      <c r="AKJ55" s="157"/>
      <c r="AKK55" s="157"/>
      <c r="AKL55" s="157"/>
      <c r="AKM55" s="157"/>
      <c r="AKN55" s="157"/>
      <c r="AKO55" s="161"/>
      <c r="AKP55" s="157"/>
      <c r="AKQ55" s="157"/>
      <c r="AKR55" s="157"/>
      <c r="AKS55" s="157"/>
      <c r="AKT55" s="157"/>
      <c r="AKU55" s="158"/>
      <c r="AKV55" s="157"/>
      <c r="AKW55" s="157"/>
      <c r="AKX55" s="157"/>
      <c r="AKY55" s="157"/>
      <c r="AKZ55" s="157"/>
      <c r="ALA55" s="161"/>
      <c r="ALB55" s="157"/>
      <c r="ALC55" s="157"/>
      <c r="ALD55" s="157"/>
      <c r="ALE55" s="157"/>
      <c r="ALF55" s="157"/>
      <c r="ALG55" s="158"/>
      <c r="ALH55" s="157"/>
      <c r="ALI55" s="157"/>
      <c r="ALJ55" s="157"/>
      <c r="ALK55" s="157"/>
      <c r="ALL55" s="157"/>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159"/>
      <c r="AOU55" s="157"/>
      <c r="AOV55" s="157"/>
      <c r="AOW55" s="157"/>
      <c r="AOX55" s="157"/>
      <c r="AOY55" s="160"/>
      <c r="AOZ55" s="157"/>
      <c r="APA55" s="157"/>
      <c r="APB55" s="157"/>
      <c r="APC55" s="157"/>
      <c r="APD55" s="157"/>
      <c r="APE55" s="161"/>
      <c r="APF55" s="157"/>
      <c r="APG55" s="157"/>
      <c r="APH55" s="157"/>
      <c r="API55" s="157"/>
      <c r="APJ55" s="157"/>
      <c r="APK55" s="158"/>
      <c r="APL55" s="157"/>
      <c r="APM55" s="157"/>
      <c r="APN55" s="157"/>
      <c r="APO55" s="157"/>
      <c r="APP55" s="157"/>
      <c r="APQ55" s="161"/>
      <c r="APR55" s="157"/>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157"/>
      <c r="AUR55" s="157"/>
      <c r="AUS55" s="161"/>
      <c r="AUT55" s="157"/>
      <c r="AUU55" s="157"/>
      <c r="AUV55" s="157"/>
      <c r="AUW55" s="157"/>
      <c r="AUX55" s="157"/>
      <c r="AUY55" s="158"/>
      <c r="AUZ55" s="157"/>
      <c r="AVA55" s="157"/>
      <c r="AVB55" s="157"/>
      <c r="AVC55" s="157"/>
      <c r="AVD55" s="157"/>
      <c r="AVE55" s="161"/>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157"/>
      <c r="BBN55" s="157"/>
      <c r="BBO55" s="157"/>
      <c r="BBP55" s="157"/>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159"/>
      <c r="BCQ55" s="157"/>
      <c r="BCR55" s="157"/>
      <c r="BCS55" s="157"/>
      <c r="BCT55" s="157"/>
      <c r="BCU55" s="160"/>
      <c r="BCV55" s="157"/>
      <c r="BCW55" s="157"/>
      <c r="BCX55" s="157"/>
      <c r="BCY55" s="157"/>
      <c r="BCZ55" s="157"/>
      <c r="BDA55" s="161"/>
      <c r="BDB55" s="157"/>
      <c r="BDC55" s="157"/>
      <c r="BDD55" s="157"/>
      <c r="BDE55" s="157"/>
      <c r="BDF55" s="157"/>
      <c r="BDG55" s="158"/>
      <c r="BDH55" s="157"/>
      <c r="BDI55" s="157"/>
      <c r="BDJ55" s="157"/>
      <c r="BDK55" s="157"/>
      <c r="BDL55" s="157"/>
      <c r="BDM55" s="161"/>
      <c r="BDN55" s="157"/>
      <c r="BDO55" s="157"/>
      <c r="BDP55" s="157"/>
      <c r="BDQ55" s="157"/>
      <c r="BDR55" s="157"/>
      <c r="BDS55" s="158"/>
      <c r="BDT55" s="157"/>
      <c r="BDU55" s="157"/>
      <c r="BDV55" s="157"/>
      <c r="BDW55" s="157"/>
      <c r="BDX55" s="157"/>
      <c r="BDY55" s="161"/>
      <c r="BDZ55" s="157"/>
      <c r="BEA55" s="157"/>
      <c r="BEB55" s="157"/>
      <c r="BEC55" s="157"/>
      <c r="BED55" s="157"/>
      <c r="BEE55" s="158"/>
      <c r="BEF55" s="157"/>
      <c r="BEG55" s="157"/>
      <c r="BEH55" s="157"/>
      <c r="BEI55" s="157"/>
      <c r="BEJ55" s="157"/>
      <c r="BEK55" s="161"/>
      <c r="BEL55" s="36"/>
      <c r="BEM55" s="36"/>
      <c r="BEN55" s="36"/>
      <c r="BEO55" s="36"/>
      <c r="BEP55" s="36"/>
      <c r="BEQ55" s="59"/>
      <c r="BER55" s="36"/>
      <c r="BES55" s="36"/>
      <c r="BET55" s="36"/>
      <c r="BEU55" s="36"/>
      <c r="BEV55" s="36"/>
      <c r="BEW55" s="37"/>
      <c r="BEX55" s="159"/>
      <c r="BEY55" s="157"/>
      <c r="BEZ55" s="157"/>
      <c r="BFA55" s="157"/>
      <c r="BFB55" s="157"/>
      <c r="BFC55" s="160"/>
      <c r="BFD55" s="157"/>
      <c r="BFE55" s="157"/>
      <c r="BFF55" s="157"/>
      <c r="BFG55" s="157"/>
      <c r="BFH55" s="157"/>
      <c r="BFI55" s="161"/>
      <c r="BFJ55" s="157"/>
      <c r="BFK55" s="157"/>
      <c r="BFL55" s="157"/>
      <c r="BFM55" s="157"/>
      <c r="BFN55" s="157"/>
      <c r="BFO55" s="158"/>
      <c r="BFP55" s="157"/>
      <c r="BFQ55" s="157"/>
      <c r="BFR55" s="157"/>
      <c r="BFS55" s="157"/>
      <c r="BFT55" s="157"/>
      <c r="BFU55" s="161"/>
      <c r="BFV55" s="157"/>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27</v>
      </c>
      <c r="B56" s="51"/>
      <c r="C56" s="200"/>
      <c r="D56" s="120" t="str">
        <f t="shared" si="0"/>
        <v>13h 35 min</v>
      </c>
      <c r="E56" s="22">
        <v>163</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164"/>
      <c r="EY56" s="167"/>
      <c r="EZ56" s="164"/>
      <c r="FA56" s="164"/>
      <c r="FB56" s="164"/>
      <c r="FC56" s="164"/>
      <c r="FD56" s="164"/>
      <c r="FE56" s="166"/>
      <c r="FF56" s="164"/>
      <c r="FG56" s="164"/>
      <c r="FH56" s="164"/>
      <c r="FI56" s="164"/>
      <c r="FJ56" s="164"/>
      <c r="FK56" s="167"/>
      <c r="FL56" s="164"/>
      <c r="FM56" s="164"/>
      <c r="FN56" s="164"/>
      <c r="FO56" s="164"/>
      <c r="FP56" s="164"/>
      <c r="FQ56" s="166"/>
      <c r="FR56" s="24"/>
      <c r="FS56" s="24"/>
      <c r="FT56" s="24"/>
      <c r="FU56" s="24"/>
      <c r="FV56" s="24"/>
      <c r="FW56" s="56"/>
      <c r="FX56" s="24"/>
      <c r="FY56" s="24"/>
      <c r="FZ56" s="24"/>
      <c r="GA56" s="24"/>
      <c r="GB56" s="24"/>
      <c r="GC56" s="25"/>
      <c r="GD56" s="163"/>
      <c r="GE56" s="164"/>
      <c r="GF56" s="164"/>
      <c r="GG56" s="164"/>
      <c r="GH56" s="164"/>
      <c r="GI56" s="165"/>
      <c r="GJ56" s="164"/>
      <c r="GK56" s="164"/>
      <c r="GL56" s="164"/>
      <c r="GM56" s="164"/>
      <c r="GN56" s="164"/>
      <c r="GO56" s="166"/>
      <c r="GP56" s="164"/>
      <c r="GQ56" s="164"/>
      <c r="GR56" s="164"/>
      <c r="GS56" s="164"/>
      <c r="GT56" s="164"/>
      <c r="GU56" s="167"/>
      <c r="GV56" s="164"/>
      <c r="GW56" s="164"/>
      <c r="GX56" s="164"/>
      <c r="GY56" s="164"/>
      <c r="GZ56" s="164"/>
      <c r="HA56" s="166"/>
      <c r="HB56" s="16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163"/>
      <c r="IM56" s="164"/>
      <c r="IN56" s="164"/>
      <c r="IO56" s="164"/>
      <c r="IP56" s="164"/>
      <c r="IQ56" s="165"/>
      <c r="IR56" s="164"/>
      <c r="IS56" s="164"/>
      <c r="IT56" s="164"/>
      <c r="IU56" s="164"/>
      <c r="IV56" s="164"/>
      <c r="IW56" s="166"/>
      <c r="IX56" s="164"/>
      <c r="IY56" s="164"/>
      <c r="IZ56" s="164"/>
      <c r="JA56" s="164"/>
      <c r="JB56" s="164"/>
      <c r="JC56" s="167"/>
      <c r="JD56" s="164"/>
      <c r="JE56" s="164"/>
      <c r="JF56" s="164"/>
      <c r="JG56" s="164"/>
      <c r="JH56" s="164"/>
      <c r="JI56" s="166"/>
      <c r="JJ56" s="164"/>
      <c r="JK56" s="164"/>
      <c r="JL56" s="164"/>
      <c r="JM56" s="164"/>
      <c r="JN56" s="164"/>
      <c r="JO56" s="167"/>
      <c r="JP56" s="164"/>
      <c r="JQ56" s="164"/>
      <c r="JR56" s="164"/>
      <c r="JS56" s="164"/>
      <c r="JT56" s="164"/>
      <c r="JU56" s="166"/>
      <c r="JV56" s="164"/>
      <c r="JW56" s="164"/>
      <c r="JX56" s="164"/>
      <c r="JY56" s="164"/>
      <c r="JZ56" s="164"/>
      <c r="KA56" s="167"/>
      <c r="KB56" s="164"/>
      <c r="KC56" s="164"/>
      <c r="KD56" s="164"/>
      <c r="KE56" s="164"/>
      <c r="KF56" s="164"/>
      <c r="KG56" s="166"/>
      <c r="KH56" s="24"/>
      <c r="KI56" s="24"/>
      <c r="KJ56" s="24"/>
      <c r="KK56" s="24"/>
      <c r="KL56" s="24"/>
      <c r="KM56" s="56"/>
      <c r="KN56" s="24"/>
      <c r="KO56" s="24"/>
      <c r="KP56" s="24"/>
      <c r="KQ56" s="24"/>
      <c r="KR56" s="24"/>
      <c r="KS56" s="25"/>
      <c r="KT56" s="163"/>
      <c r="KU56" s="164"/>
      <c r="KV56" s="164"/>
      <c r="KW56" s="164"/>
      <c r="KX56" s="164"/>
      <c r="KY56" s="165"/>
      <c r="KZ56" s="164"/>
      <c r="LA56" s="164"/>
      <c r="LB56" s="164"/>
      <c r="LC56" s="164"/>
      <c r="LD56" s="164"/>
      <c r="LE56" s="166"/>
      <c r="LF56" s="164"/>
      <c r="LG56" s="164"/>
      <c r="LH56" s="164"/>
      <c r="LI56" s="164"/>
      <c r="LJ56" s="164"/>
      <c r="LK56" s="167"/>
      <c r="LL56" s="164"/>
      <c r="LM56" s="164"/>
      <c r="LN56" s="164"/>
      <c r="LO56" s="164"/>
      <c r="LP56" s="164"/>
      <c r="LQ56" s="166"/>
      <c r="LR56" s="164"/>
      <c r="LS56" s="164"/>
      <c r="LT56" s="164"/>
      <c r="LU56" s="164"/>
      <c r="LV56" s="164"/>
      <c r="LW56" s="167"/>
      <c r="LX56" s="164"/>
      <c r="LY56" s="16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164"/>
      <c r="RY56" s="164"/>
      <c r="RZ56" s="164"/>
      <c r="SA56" s="164"/>
      <c r="SB56" s="164"/>
      <c r="SC56" s="166"/>
      <c r="SD56" s="164"/>
      <c r="SE56" s="164"/>
      <c r="SF56" s="164"/>
      <c r="SG56" s="164"/>
      <c r="SH56" s="164"/>
      <c r="SI56" s="167"/>
      <c r="SJ56" s="164"/>
      <c r="SK56" s="164"/>
      <c r="SL56" s="164"/>
      <c r="SM56" s="164"/>
      <c r="SN56" s="164"/>
      <c r="SO56" s="166"/>
      <c r="SP56" s="164"/>
      <c r="SQ56" s="164"/>
      <c r="SR56" s="164"/>
      <c r="SS56" s="164"/>
      <c r="ST56" s="164"/>
      <c r="SU56" s="167"/>
      <c r="SV56" s="164"/>
      <c r="SW56" s="164"/>
      <c r="SX56" s="164"/>
      <c r="SY56" s="164"/>
      <c r="SZ56" s="164"/>
      <c r="TA56" s="166"/>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163"/>
      <c r="UA56" s="164"/>
      <c r="UB56" s="164"/>
      <c r="UC56" s="164"/>
      <c r="UD56" s="164"/>
      <c r="UE56" s="165"/>
      <c r="UF56" s="164"/>
      <c r="UG56" s="164"/>
      <c r="UH56" s="24"/>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00000000000001" customHeight="1" x14ac:dyDescent="0.25">
      <c r="A57" s="78" t="s">
        <v>26</v>
      </c>
      <c r="B57" s="51"/>
      <c r="C57" s="199" t="s">
        <v>59</v>
      </c>
      <c r="D57" s="119" t="str">
        <f t="shared" si="0"/>
        <v>1h 50 min</v>
      </c>
      <c r="E57" s="26">
        <v>22</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154"/>
      <c r="BFX57" s="154"/>
      <c r="BFY57" s="154"/>
      <c r="BFZ57" s="154"/>
      <c r="BGA57" s="162"/>
      <c r="BGB57" s="154"/>
      <c r="BGC57" s="154"/>
      <c r="BGD57" s="154"/>
      <c r="BGE57" s="154"/>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153"/>
      <c r="BHG57" s="154"/>
      <c r="BHH57" s="154"/>
      <c r="BHI57" s="154"/>
      <c r="BHJ57" s="154"/>
      <c r="BHK57" s="155"/>
      <c r="BHL57" s="154"/>
      <c r="BHM57" s="154"/>
      <c r="BHN57" s="154"/>
      <c r="BHO57" s="154"/>
      <c r="BHP57" s="154"/>
      <c r="BHQ57" s="156"/>
      <c r="BHR57" s="154"/>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27</v>
      </c>
      <c r="B58" s="51"/>
      <c r="C58" s="200"/>
      <c r="D58" s="121" t="str">
        <f t="shared" si="0"/>
        <v/>
      </c>
      <c r="E58" s="30">
        <v>0</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00000000000001" customHeight="1" x14ac:dyDescent="0.25">
      <c r="A59" s="78" t="s">
        <v>26</v>
      </c>
      <c r="B59" s="51"/>
      <c r="C59" s="199" t="s">
        <v>60</v>
      </c>
      <c r="D59" s="119" t="str">
        <f t="shared" si="0"/>
        <v>1h</v>
      </c>
      <c r="E59" s="26">
        <v>12</v>
      </c>
      <c r="F59" s="35"/>
      <c r="G59" s="36"/>
      <c r="H59" s="36"/>
      <c r="I59" s="36"/>
      <c r="J59" s="36"/>
      <c r="K59" s="107"/>
      <c r="L59" s="36"/>
      <c r="M59" s="36"/>
      <c r="N59" s="36"/>
      <c r="O59" s="36"/>
      <c r="P59" s="36"/>
      <c r="Q59" s="112"/>
      <c r="R59" s="36"/>
      <c r="S59" s="36"/>
      <c r="T59" s="36"/>
      <c r="U59" s="36"/>
      <c r="V59" s="36"/>
      <c r="W59" s="59"/>
      <c r="X59" s="36"/>
      <c r="Y59" s="36"/>
      <c r="Z59" s="157"/>
      <c r="AA59" s="157"/>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61"/>
      <c r="CL59" s="157"/>
      <c r="CM59" s="157"/>
      <c r="CN59" s="157"/>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157"/>
      <c r="AUL59" s="157"/>
      <c r="AUM59" s="158"/>
      <c r="AUN59" s="157"/>
      <c r="AUO59" s="157"/>
      <c r="AUP59" s="157"/>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27</v>
      </c>
      <c r="B60" s="51"/>
      <c r="C60" s="200"/>
      <c r="D60" s="121" t="str">
        <f t="shared" si="0"/>
        <v xml:space="preserve"> 25 min</v>
      </c>
      <c r="E60" s="30">
        <v>5</v>
      </c>
      <c r="F60" s="23"/>
      <c r="G60" s="24"/>
      <c r="H60" s="24"/>
      <c r="I60" s="24"/>
      <c r="J60" s="24"/>
      <c r="K60" s="104"/>
      <c r="L60" s="24"/>
      <c r="M60" s="24"/>
      <c r="N60" s="24"/>
      <c r="O60" s="24"/>
      <c r="P60" s="24"/>
      <c r="Q60" s="109"/>
      <c r="R60" s="24"/>
      <c r="S60" s="24"/>
      <c r="T60" s="164"/>
      <c r="U60" s="164"/>
      <c r="V60" s="16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66"/>
      <c r="CL60" s="16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23"/>
      <c r="AYA60" s="24"/>
      <c r="AYB60" s="24"/>
      <c r="AYC60" s="24"/>
      <c r="AYD60" s="24"/>
      <c r="AYE60" s="104"/>
      <c r="AYF60" s="24"/>
      <c r="AYG60" s="24"/>
      <c r="AYH60" s="24"/>
      <c r="AYI60" s="24"/>
      <c r="AYJ60" s="24"/>
      <c r="AYK60" s="109"/>
      <c r="AYL60" s="24"/>
      <c r="AYM60" s="24"/>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00000000000001" customHeight="1" x14ac:dyDescent="0.25">
      <c r="A61" s="78" t="s">
        <v>26</v>
      </c>
      <c r="B61" s="51"/>
      <c r="C61" s="199" t="s">
        <v>61</v>
      </c>
      <c r="D61" s="119" t="str">
        <f t="shared" si="0"/>
        <v>1h 10 min</v>
      </c>
      <c r="E61" s="34">
        <v>14</v>
      </c>
      <c r="F61" s="153"/>
      <c r="G61" s="154"/>
      <c r="H61" s="154"/>
      <c r="I61" s="154"/>
      <c r="J61" s="154"/>
      <c r="K61" s="155"/>
      <c r="L61" s="154"/>
      <c r="M61" s="154"/>
      <c r="N61" s="154"/>
      <c r="O61" s="154"/>
      <c r="P61" s="154"/>
      <c r="Q61" s="156"/>
      <c r="R61" s="154"/>
      <c r="S61" s="154"/>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27</v>
      </c>
      <c r="B62" s="51"/>
      <c r="C62" s="201"/>
      <c r="D62" s="120" t="str">
        <f t="shared" si="0"/>
        <v xml:space="preserve"> 45 min</v>
      </c>
      <c r="E62" s="80">
        <v>9</v>
      </c>
      <c r="F62" s="170"/>
      <c r="G62" s="168"/>
      <c r="H62" s="168"/>
      <c r="I62" s="168"/>
      <c r="J62" s="168"/>
      <c r="K62" s="171"/>
      <c r="L62" s="168"/>
      <c r="M62" s="168"/>
      <c r="N62" s="168"/>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32"/>
      <c r="NU62" s="32"/>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32"/>
      <c r="VM62" s="32"/>
      <c r="VN62" s="32"/>
      <c r="VO62" s="58"/>
      <c r="VP62" s="32"/>
      <c r="VQ62" s="32"/>
      <c r="VR62" s="32"/>
      <c r="VS62" s="32"/>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32"/>
      <c r="BEA62" s="32"/>
      <c r="BEB62" s="32"/>
      <c r="BEC62" s="32"/>
      <c r="BED62" s="32"/>
      <c r="BEE62" s="58"/>
      <c r="BEF62" s="32"/>
      <c r="BEG62" s="32"/>
      <c r="BEH62" s="32"/>
      <c r="BEI62" s="32"/>
      <c r="BEJ62" s="32"/>
      <c r="BEK62" s="11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00000000000001" customHeight="1" x14ac:dyDescent="0.25">
      <c r="A63" s="78" t="s">
        <v>26</v>
      </c>
      <c r="B63" s="51"/>
      <c r="C63" s="199" t="s">
        <v>62</v>
      </c>
      <c r="D63" s="119" t="str">
        <f t="shared" si="0"/>
        <v>1h 35 min</v>
      </c>
      <c r="E63" s="34">
        <v>19</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159"/>
      <c r="AAY63" s="157"/>
      <c r="AAZ63" s="157"/>
      <c r="ABA63" s="157"/>
      <c r="ABB63" s="157"/>
      <c r="ABC63" s="160"/>
      <c r="ABD63" s="157"/>
      <c r="ABE63" s="157"/>
      <c r="ABF63" s="157"/>
      <c r="ABG63" s="157"/>
      <c r="ABH63" s="157"/>
      <c r="ABI63" s="161"/>
      <c r="ABJ63" s="157"/>
      <c r="ABK63" s="157"/>
      <c r="ABL63" s="157"/>
      <c r="ABM63" s="157"/>
      <c r="ABN63" s="157"/>
      <c r="ABO63" s="158"/>
      <c r="ABP63" s="157"/>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27</v>
      </c>
      <c r="B64" s="51"/>
      <c r="C64" s="200"/>
      <c r="D64" s="121" t="str">
        <f t="shared" si="0"/>
        <v/>
      </c>
      <c r="E64" s="22">
        <v>0</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24"/>
      <c r="AZG64" s="24"/>
      <c r="AZH64" s="24"/>
      <c r="AZI64" s="109"/>
      <c r="AZJ64" s="24"/>
      <c r="AZK64" s="24"/>
      <c r="AZL64" s="24"/>
      <c r="AZM64" s="24"/>
      <c r="AZN64" s="24"/>
      <c r="AZO64" s="56"/>
      <c r="AZP64" s="24"/>
      <c r="AZQ64" s="24"/>
      <c r="AZR64" s="24"/>
      <c r="AZS64" s="24"/>
      <c r="AZT64" s="24"/>
      <c r="AZU64" s="109"/>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00000000000001" customHeight="1" x14ac:dyDescent="0.25">
      <c r="A65" s="78" t="s">
        <v>26</v>
      </c>
      <c r="B65" s="51"/>
      <c r="C65" s="199" t="s">
        <v>63</v>
      </c>
      <c r="D65" s="119" t="str">
        <f t="shared" si="0"/>
        <v>5h 5 min</v>
      </c>
      <c r="E65" s="26">
        <v>61</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154"/>
      <c r="AYS65" s="154"/>
      <c r="AYT65" s="154"/>
      <c r="AYU65" s="154"/>
      <c r="AYV65" s="154"/>
      <c r="AYW65" s="156"/>
      <c r="AYX65" s="154"/>
      <c r="AYY65" s="154"/>
      <c r="AYZ65" s="154"/>
      <c r="AZA65" s="154"/>
      <c r="AZB65" s="154"/>
      <c r="AZC65" s="162"/>
      <c r="AZD65" s="154"/>
      <c r="AZE65" s="154"/>
      <c r="AZF65" s="154"/>
      <c r="AZG65" s="154"/>
      <c r="AZH65" s="154"/>
      <c r="AZI65" s="156"/>
      <c r="AZJ65" s="154"/>
      <c r="AZK65" s="154"/>
      <c r="AZL65" s="154"/>
      <c r="AZM65" s="154"/>
      <c r="AZN65" s="154"/>
      <c r="AZO65" s="162"/>
      <c r="AZP65" s="154"/>
      <c r="AZQ65" s="154"/>
      <c r="AZR65" s="154"/>
      <c r="AZS65" s="154"/>
      <c r="AZT65" s="154"/>
      <c r="AZU65" s="156"/>
      <c r="AZV65" s="28"/>
      <c r="AZW65" s="28"/>
      <c r="AZX65" s="28"/>
      <c r="AZY65" s="28"/>
      <c r="AZZ65" s="28"/>
      <c r="BAA65" s="57"/>
      <c r="BAB65" s="28"/>
      <c r="BAC65" s="28"/>
      <c r="BAD65" s="28"/>
      <c r="BAE65" s="28"/>
      <c r="BAF65" s="28"/>
      <c r="BAG65" s="29"/>
      <c r="BAH65" s="153"/>
      <c r="BAI65" s="154"/>
      <c r="BAJ65" s="154"/>
      <c r="BAK65" s="154"/>
      <c r="BAL65" s="154"/>
      <c r="BAM65" s="155"/>
      <c r="BAN65" s="154"/>
      <c r="BAO65" s="154"/>
      <c r="BAP65" s="154"/>
      <c r="BAQ65" s="154"/>
      <c r="BAR65" s="154"/>
      <c r="BAS65" s="156"/>
      <c r="BAT65" s="154"/>
      <c r="BAU65" s="154"/>
      <c r="BAV65" s="154"/>
      <c r="BAW65" s="154"/>
      <c r="BAX65" s="154"/>
      <c r="BAY65" s="162"/>
      <c r="BAZ65" s="154"/>
      <c r="BBA65" s="154"/>
      <c r="BBB65" s="154"/>
      <c r="BBC65" s="154"/>
      <c r="BBD65" s="154"/>
      <c r="BBE65" s="156"/>
      <c r="BBF65" s="154"/>
      <c r="BBG65" s="154"/>
      <c r="BBH65" s="154"/>
      <c r="BBI65" s="154"/>
      <c r="BBJ65" s="154"/>
      <c r="BBK65" s="162"/>
      <c r="BBL65" s="154"/>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27</v>
      </c>
      <c r="B66" s="51"/>
      <c r="C66" s="200"/>
      <c r="D66" s="121" t="str">
        <f t="shared" si="0"/>
        <v/>
      </c>
      <c r="E66" s="30">
        <v>0</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32"/>
      <c r="PY66" s="32"/>
      <c r="PZ66" s="32"/>
      <c r="QA66" s="58"/>
      <c r="QB66" s="32"/>
      <c r="QC66" s="32"/>
      <c r="QD66" s="32"/>
      <c r="QE66" s="32"/>
      <c r="QF66" s="32"/>
      <c r="QG66" s="111"/>
      <c r="QH66" s="32"/>
      <c r="QI66" s="32"/>
      <c r="QJ66" s="32"/>
      <c r="QK66" s="32"/>
      <c r="QL66" s="32"/>
      <c r="QM66" s="58"/>
      <c r="QN66" s="32"/>
      <c r="QO66" s="32"/>
      <c r="QP66" s="32"/>
      <c r="QQ66" s="32"/>
      <c r="QR66" s="32"/>
      <c r="QS66" s="111"/>
      <c r="QT66" s="32"/>
      <c r="QU66" s="32"/>
      <c r="QV66" s="32"/>
      <c r="QW66" s="32"/>
      <c r="QX66" s="32"/>
      <c r="QY66" s="58"/>
      <c r="QZ66" s="32"/>
      <c r="RA66" s="32"/>
      <c r="RB66" s="32"/>
      <c r="RC66" s="32"/>
      <c r="RD66" s="32"/>
      <c r="RE66" s="111"/>
      <c r="RF66" s="32"/>
      <c r="RG66" s="32"/>
      <c r="RH66" s="32"/>
      <c r="RI66" s="32"/>
      <c r="RJ66" s="32"/>
      <c r="RK66" s="58"/>
      <c r="RL66" s="32"/>
      <c r="RM66" s="32"/>
      <c r="RN66" s="32"/>
      <c r="RO66" s="32"/>
      <c r="RP66" s="32"/>
      <c r="RQ66" s="33"/>
      <c r="RR66" s="31"/>
      <c r="RS66" s="32"/>
      <c r="RT66" s="32"/>
      <c r="RU66" s="32"/>
      <c r="RV66" s="32"/>
      <c r="RW66" s="106"/>
      <c r="RX66" s="32"/>
      <c r="RY66" s="32"/>
      <c r="RZ66" s="32"/>
      <c r="SA66" s="32"/>
      <c r="SB66" s="32"/>
      <c r="SC66" s="111"/>
      <c r="SD66" s="32"/>
      <c r="SE66" s="32"/>
      <c r="SF66" s="32"/>
      <c r="SG66" s="32"/>
      <c r="SH66" s="32"/>
      <c r="SI66" s="58"/>
      <c r="SJ66" s="32"/>
      <c r="SK66" s="32"/>
      <c r="SL66" s="32"/>
      <c r="SM66" s="32"/>
      <c r="SN66" s="32"/>
      <c r="SO66" s="111"/>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32"/>
      <c r="VI66" s="111"/>
      <c r="VJ66" s="32"/>
      <c r="VK66" s="32"/>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32"/>
      <c r="AZE66" s="32"/>
      <c r="AZF66" s="32"/>
      <c r="AZG66" s="32"/>
      <c r="AZH66" s="32"/>
      <c r="AZI66" s="111"/>
      <c r="AZJ66" s="32"/>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31"/>
      <c r="BAI66" s="32"/>
      <c r="BAJ66" s="32"/>
      <c r="BAK66" s="32"/>
      <c r="BAL66" s="32"/>
      <c r="BAM66" s="106"/>
      <c r="BAN66" s="32"/>
      <c r="BAO66" s="32"/>
      <c r="BAP66" s="32"/>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00000000000001" customHeight="1" x14ac:dyDescent="0.25">
      <c r="A67" s="78" t="s">
        <v>26</v>
      </c>
      <c r="B67" s="51"/>
      <c r="C67" s="199" t="s">
        <v>64</v>
      </c>
      <c r="D67" s="119" t="str">
        <f t="shared" si="0"/>
        <v>1h 50 min</v>
      </c>
      <c r="E67" s="34">
        <v>22</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158"/>
      <c r="AIN67" s="157"/>
      <c r="AIO67" s="157"/>
      <c r="AIP67" s="157"/>
      <c r="AIQ67" s="157"/>
      <c r="AIR67" s="157"/>
      <c r="AIS67" s="161"/>
      <c r="AIT67" s="157"/>
      <c r="AIU67" s="157"/>
      <c r="AIV67" s="157"/>
      <c r="AIW67" s="157"/>
      <c r="AIX67" s="157"/>
      <c r="AIY67" s="158"/>
      <c r="AIZ67" s="157"/>
      <c r="AJA67" s="157"/>
      <c r="AJB67" s="157"/>
      <c r="AJC67" s="157"/>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159"/>
      <c r="AKE67" s="157"/>
      <c r="AKF67" s="157"/>
      <c r="AKG67" s="157"/>
      <c r="AKH67" s="157"/>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27</v>
      </c>
      <c r="B68" s="51"/>
      <c r="C68" s="201"/>
      <c r="D68" s="120"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00000000000001" customHeight="1" x14ac:dyDescent="0.25">
      <c r="A69" s="78" t="s">
        <v>26</v>
      </c>
      <c r="B69" s="51"/>
      <c r="C69" s="199" t="s">
        <v>65</v>
      </c>
      <c r="D69" s="119" t="str">
        <f t="shared" si="0"/>
        <v xml:space="preserve"> 50 min</v>
      </c>
      <c r="E69" s="26">
        <v>10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154"/>
      <c r="ZQ69" s="154"/>
      <c r="ZR69" s="154"/>
      <c r="ZS69" s="162"/>
      <c r="ZT69" s="154"/>
      <c r="ZU69" s="154"/>
      <c r="ZV69" s="154"/>
      <c r="ZW69" s="154"/>
      <c r="ZX69" s="154"/>
      <c r="ZY69" s="156"/>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2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27</v>
      </c>
      <c r="B70" s="51"/>
      <c r="C70" s="201"/>
      <c r="D70" s="121" t="str">
        <f t="shared" si="0"/>
        <v/>
      </c>
      <c r="E70" s="30">
        <v>0</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32"/>
      <c r="BBJ70" s="32"/>
      <c r="BBK70" s="58"/>
      <c r="BBL70" s="32"/>
      <c r="BBM70" s="32"/>
      <c r="BBN70" s="32"/>
      <c r="BBO70" s="32"/>
      <c r="BBP70" s="32"/>
      <c r="BBQ70" s="111"/>
      <c r="BBR70" s="32"/>
      <c r="BBS70" s="32"/>
      <c r="BBT70" s="32"/>
      <c r="BBU70" s="32"/>
      <c r="BBV70" s="32"/>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00000000000001" customHeight="1" x14ac:dyDescent="0.25">
      <c r="A71" s="78" t="s">
        <v>26</v>
      </c>
      <c r="B71" s="51"/>
      <c r="C71" s="199" t="s">
        <v>66</v>
      </c>
      <c r="D71" s="119" t="str">
        <f t="shared" si="0"/>
        <v>2h 40 min</v>
      </c>
      <c r="E71" s="34">
        <v>32</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157"/>
      <c r="AGV71" s="157"/>
      <c r="AGW71" s="161"/>
      <c r="AGX71" s="157"/>
      <c r="AGY71" s="157"/>
      <c r="AGZ71" s="157"/>
      <c r="AHA71" s="157"/>
      <c r="AHB71" s="157"/>
      <c r="AHC71" s="158"/>
      <c r="AHD71" s="157"/>
      <c r="AHE71" s="157"/>
      <c r="AHF71" s="157"/>
      <c r="AHG71" s="157"/>
      <c r="AHH71" s="157"/>
      <c r="AHI71" s="161"/>
      <c r="AHJ71" s="36"/>
      <c r="AHK71" s="36"/>
      <c r="AHL71" s="36"/>
      <c r="AHM71" s="36"/>
      <c r="AHN71" s="36"/>
      <c r="AHO71" s="59"/>
      <c r="AHP71" s="36"/>
      <c r="AHQ71" s="36"/>
      <c r="AHR71" s="36"/>
      <c r="AHS71" s="36"/>
      <c r="AHT71" s="36"/>
      <c r="AHU71" s="37"/>
      <c r="AHV71" s="159"/>
      <c r="AHW71" s="157"/>
      <c r="AHX71" s="157"/>
      <c r="AHY71" s="157"/>
      <c r="AHZ71" s="157"/>
      <c r="AIA71" s="160"/>
      <c r="AIB71" s="157"/>
      <c r="AIC71" s="157"/>
      <c r="AID71" s="157"/>
      <c r="AIE71" s="157"/>
      <c r="AIF71" s="157"/>
      <c r="AIG71" s="161"/>
      <c r="AIH71" s="157"/>
      <c r="AII71" s="157"/>
      <c r="AIJ71" s="157"/>
      <c r="AIK71" s="157"/>
      <c r="AIL71" s="157"/>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27</v>
      </c>
      <c r="B72" s="51"/>
      <c r="C72" s="201"/>
      <c r="D72" s="120" t="str">
        <f t="shared" si="0"/>
        <v/>
      </c>
      <c r="E72" s="22">
        <v>0</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24"/>
      <c r="VC72" s="56"/>
      <c r="VD72" s="24"/>
      <c r="VE72" s="24"/>
      <c r="VF72" s="24"/>
      <c r="VG72" s="24"/>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23"/>
      <c r="AYA72" s="24"/>
      <c r="AYB72" s="24"/>
      <c r="AYC72" s="24"/>
      <c r="AYD72" s="24"/>
      <c r="AYE72" s="104"/>
      <c r="AYF72" s="24"/>
      <c r="AYG72" s="24"/>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24"/>
      <c r="BBA72" s="24"/>
      <c r="BBB72" s="24"/>
      <c r="BBC72" s="24"/>
      <c r="BBD72" s="24"/>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00000000000001" customHeight="1" x14ac:dyDescent="0.25">
      <c r="A73" s="78" t="s">
        <v>26</v>
      </c>
      <c r="B73" s="51"/>
      <c r="C73" s="199" t="s">
        <v>67</v>
      </c>
      <c r="D73" s="119" t="str">
        <f t="shared" si="0"/>
        <v>4h</v>
      </c>
      <c r="E73" s="26">
        <v>48</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154"/>
      <c r="ADQ73" s="156"/>
      <c r="ADR73" s="154"/>
      <c r="ADS73" s="154"/>
      <c r="ADT73" s="154"/>
      <c r="ADU73" s="154"/>
      <c r="ADV73" s="154"/>
      <c r="ADW73" s="162"/>
      <c r="ADX73" s="154"/>
      <c r="ADY73" s="154"/>
      <c r="ADZ73" s="154"/>
      <c r="AEA73" s="154"/>
      <c r="AEB73" s="154"/>
      <c r="AEC73" s="156"/>
      <c r="AED73" s="154"/>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153"/>
      <c r="AFO73" s="154"/>
      <c r="AFP73" s="154"/>
      <c r="AFQ73" s="154"/>
      <c r="AFR73" s="154"/>
      <c r="AFS73" s="155"/>
      <c r="AFT73" s="154"/>
      <c r="AFU73" s="154"/>
      <c r="AFV73" s="154"/>
      <c r="AFW73" s="154"/>
      <c r="AFX73" s="154"/>
      <c r="AFY73" s="156"/>
      <c r="AFZ73" s="154"/>
      <c r="AGA73" s="154"/>
      <c r="AGB73" s="154"/>
      <c r="AGC73" s="154"/>
      <c r="AGD73" s="154"/>
      <c r="AGE73" s="162"/>
      <c r="AGF73" s="154"/>
      <c r="AGG73" s="154"/>
      <c r="AGH73" s="154"/>
      <c r="AGI73" s="154"/>
      <c r="AGJ73" s="154"/>
      <c r="AGK73" s="156"/>
      <c r="AGL73" s="154"/>
      <c r="AGM73" s="154"/>
      <c r="AGN73" s="154"/>
      <c r="AGO73" s="154"/>
      <c r="AGP73" s="154"/>
      <c r="AGQ73" s="162"/>
      <c r="AGR73" s="154"/>
      <c r="AGS73" s="154"/>
      <c r="AGT73" s="154"/>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27</v>
      </c>
      <c r="B74" s="51"/>
      <c r="C74" s="200"/>
      <c r="D74" s="12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00000000000001" customHeight="1" x14ac:dyDescent="0.25">
      <c r="A75" s="78" t="s">
        <v>26</v>
      </c>
      <c r="B75" s="51"/>
      <c r="C75" s="199" t="s">
        <v>68</v>
      </c>
      <c r="D75" s="119" t="str">
        <f t="shared" si="0"/>
        <v>1h 25 min</v>
      </c>
      <c r="E75" s="26">
        <v>17</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154"/>
      <c r="ACD75" s="154"/>
      <c r="ACE75" s="154"/>
      <c r="ACF75" s="154"/>
      <c r="ACG75" s="156"/>
      <c r="ACH75" s="154"/>
      <c r="ACI75" s="154"/>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153"/>
      <c r="ADG75" s="154"/>
      <c r="ADH75" s="154"/>
      <c r="ADI75" s="154"/>
      <c r="ADJ75" s="154"/>
      <c r="ADK75" s="155"/>
      <c r="ADL75" s="154"/>
      <c r="ADM75" s="154"/>
      <c r="ADN75" s="154"/>
      <c r="ADO75" s="154"/>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27</v>
      </c>
      <c r="B76" s="51"/>
      <c r="C76" s="201"/>
      <c r="D76" s="121" t="str">
        <f t="shared" si="0"/>
        <v/>
      </c>
      <c r="E76" s="30">
        <v>0</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32"/>
      <c r="AYI76" s="32"/>
      <c r="AYJ76" s="32"/>
      <c r="AYK76" s="111"/>
      <c r="AYL76" s="32"/>
      <c r="AYM76" s="32"/>
      <c r="AYN76" s="32"/>
      <c r="AYO76" s="32"/>
      <c r="AYP76" s="32"/>
      <c r="AYQ76" s="58"/>
      <c r="AYR76" s="32"/>
      <c r="AYS76" s="32"/>
      <c r="AYT76" s="32"/>
      <c r="AYU76" s="32"/>
      <c r="AYV76" s="32"/>
      <c r="AYW76" s="111"/>
      <c r="AYX76" s="32"/>
      <c r="AYY76" s="32"/>
      <c r="AYZ76" s="32"/>
      <c r="AZA76" s="32"/>
      <c r="AZB76" s="32"/>
      <c r="AZC76" s="58"/>
      <c r="AZD76" s="32"/>
      <c r="AZE76" s="32"/>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00000000000001" customHeight="1" x14ac:dyDescent="0.25">
      <c r="A77" s="78" t="s">
        <v>26</v>
      </c>
      <c r="B77" s="51"/>
      <c r="C77" s="199" t="s">
        <v>69</v>
      </c>
      <c r="D77" s="119" t="str">
        <f t="shared" si="0"/>
        <v>1h</v>
      </c>
      <c r="E77" s="34">
        <v>12</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157"/>
      <c r="ABR77" s="157"/>
      <c r="ABS77" s="157"/>
      <c r="ABT77" s="157"/>
      <c r="ABU77" s="161"/>
      <c r="ABV77" s="157"/>
      <c r="ABW77" s="157"/>
      <c r="ABX77" s="157"/>
      <c r="ABY77" s="157"/>
      <c r="ABZ77" s="157"/>
      <c r="ACA77" s="158"/>
      <c r="ACB77" s="157"/>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27</v>
      </c>
      <c r="B78" s="51"/>
      <c r="C78" s="200"/>
      <c r="D78" s="120" t="str">
        <f t="shared" si="0"/>
        <v/>
      </c>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00000000000001" customHeight="1" x14ac:dyDescent="0.25">
      <c r="A79" s="78" t="s">
        <v>26</v>
      </c>
      <c r="B79" s="51"/>
      <c r="C79" s="199" t="s">
        <v>70</v>
      </c>
      <c r="D79" s="119" t="str">
        <f t="shared" si="0"/>
        <v xml:space="preserve"> 10 min</v>
      </c>
      <c r="E79" s="34">
        <v>2</v>
      </c>
      <c r="F79" s="27"/>
      <c r="G79" s="28"/>
      <c r="H79" s="28"/>
      <c r="I79" s="28"/>
      <c r="J79" s="28"/>
      <c r="K79" s="105"/>
      <c r="L79" s="28"/>
      <c r="M79" s="28"/>
      <c r="N79" s="28"/>
      <c r="O79" s="28"/>
      <c r="P79" s="28"/>
      <c r="Q79" s="110"/>
      <c r="R79" s="28"/>
      <c r="S79" s="28"/>
      <c r="T79" s="28"/>
      <c r="U79" s="28"/>
      <c r="V79" s="28"/>
      <c r="W79" s="57"/>
      <c r="X79" s="28"/>
      <c r="Y79" s="28"/>
      <c r="Z79" s="28"/>
      <c r="AA79" s="28"/>
      <c r="AB79" s="154"/>
      <c r="AC79" s="156"/>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27</v>
      </c>
      <c r="B80" s="51"/>
      <c r="C80" s="200"/>
      <c r="D80" s="121" t="str">
        <f t="shared" ref="D80:D94" si="1">setValueToTime(E80)</f>
        <v xml:space="preserve"> 10 min</v>
      </c>
      <c r="E80" s="22">
        <v>2</v>
      </c>
      <c r="F80" s="31"/>
      <c r="G80" s="32"/>
      <c r="H80" s="32"/>
      <c r="I80" s="32"/>
      <c r="J80" s="32"/>
      <c r="K80" s="106"/>
      <c r="L80" s="32"/>
      <c r="M80" s="32"/>
      <c r="N80" s="32"/>
      <c r="O80" s="32"/>
      <c r="P80" s="32"/>
      <c r="Q80" s="111"/>
      <c r="R80" s="32"/>
      <c r="S80" s="32"/>
      <c r="T80" s="32"/>
      <c r="U80" s="32"/>
      <c r="V80" s="32"/>
      <c r="W80" s="169"/>
      <c r="X80" s="168"/>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00000000000001" customHeight="1" x14ac:dyDescent="0.25">
      <c r="A81" s="78" t="s">
        <v>26</v>
      </c>
      <c r="B81" s="51"/>
      <c r="C81" s="199" t="s">
        <v>71</v>
      </c>
      <c r="D81" s="119" t="str">
        <f t="shared" si="1"/>
        <v xml:space="preserve"> 30 min</v>
      </c>
      <c r="E81" s="26">
        <v>6</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157"/>
      <c r="BHT81" s="157"/>
      <c r="BHU81" s="157"/>
      <c r="BHV81" s="157"/>
      <c r="BHW81" s="158"/>
      <c r="BHX81" s="157"/>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27</v>
      </c>
      <c r="B82" s="51"/>
      <c r="C82" s="201"/>
      <c r="D82" s="121" t="str">
        <f t="shared" si="1"/>
        <v/>
      </c>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00000000000001" customHeight="1" x14ac:dyDescent="0.25">
      <c r="A83" s="78" t="s">
        <v>26</v>
      </c>
      <c r="B83" s="51"/>
      <c r="C83" s="199" t="s">
        <v>72</v>
      </c>
      <c r="D83" s="119" t="str">
        <f t="shared" si="1"/>
        <v>3h 55 min</v>
      </c>
      <c r="E83" s="34">
        <v>47</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56"/>
      <c r="ALN83" s="154"/>
      <c r="ALO83" s="154"/>
      <c r="ALP83" s="154"/>
      <c r="ALQ83" s="154"/>
      <c r="ALR83" s="154"/>
      <c r="ALS83" s="162"/>
      <c r="ALT83" s="154"/>
      <c r="ALU83" s="154"/>
      <c r="ALV83" s="154"/>
      <c r="ALW83" s="154"/>
      <c r="ALX83" s="154"/>
      <c r="ALY83" s="156"/>
      <c r="ALZ83" s="28"/>
      <c r="AMA83" s="28"/>
      <c r="AMB83" s="28"/>
      <c r="AMC83" s="28"/>
      <c r="AMD83" s="28"/>
      <c r="AME83" s="57"/>
      <c r="AMF83" s="28"/>
      <c r="AMG83" s="28"/>
      <c r="AMH83" s="28"/>
      <c r="AMI83" s="28"/>
      <c r="AMJ83" s="28"/>
      <c r="AMK83" s="29"/>
      <c r="AML83" s="153"/>
      <c r="AMM83" s="154"/>
      <c r="AMN83" s="154"/>
      <c r="AMO83" s="154"/>
      <c r="AMP83" s="154"/>
      <c r="AMQ83" s="155"/>
      <c r="AMR83" s="154"/>
      <c r="AMS83" s="154"/>
      <c r="AMT83" s="154"/>
      <c r="AMU83" s="154"/>
      <c r="AMV83" s="154"/>
      <c r="AMW83" s="156"/>
      <c r="AMX83" s="154"/>
      <c r="AMY83" s="154"/>
      <c r="AMZ83" s="154"/>
      <c r="ANA83" s="154"/>
      <c r="ANB83" s="154"/>
      <c r="ANC83" s="162"/>
      <c r="AND83" s="154"/>
      <c r="ANE83" s="154"/>
      <c r="ANF83" s="154"/>
      <c r="ANG83" s="154"/>
      <c r="ANH83" s="154"/>
      <c r="ANI83" s="156"/>
      <c r="ANJ83" s="154"/>
      <c r="ANK83" s="154"/>
      <c r="ANL83" s="154"/>
      <c r="ANM83" s="154"/>
      <c r="ANN83" s="154"/>
      <c r="ANO83" s="162"/>
      <c r="ANP83" s="154"/>
      <c r="ANQ83" s="154"/>
      <c r="ANR83" s="154"/>
      <c r="ANS83" s="154"/>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27</v>
      </c>
      <c r="B84" s="51"/>
      <c r="C84" s="200"/>
      <c r="D84" s="120" t="str">
        <f t="shared" si="1"/>
        <v/>
      </c>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00000000000001" customHeight="1" x14ac:dyDescent="0.25">
      <c r="A85" s="78" t="s">
        <v>26</v>
      </c>
      <c r="B85" s="51"/>
      <c r="C85" s="199" t="s">
        <v>73</v>
      </c>
      <c r="D85" s="119" t="str">
        <f t="shared" si="1"/>
        <v>3h 40 min</v>
      </c>
      <c r="E85" s="26">
        <v>44</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157"/>
      <c r="FJ85" s="157"/>
      <c r="FK85" s="158"/>
      <c r="FL85" s="157"/>
      <c r="FM85" s="157"/>
      <c r="FN85" s="157"/>
      <c r="FO85" s="157"/>
      <c r="FP85" s="157"/>
      <c r="FQ85" s="161"/>
      <c r="FR85" s="36"/>
      <c r="FS85" s="36"/>
      <c r="FT85" s="36"/>
      <c r="FU85" s="36"/>
      <c r="FV85" s="36"/>
      <c r="FW85" s="59"/>
      <c r="FX85" s="36"/>
      <c r="FY85" s="36"/>
      <c r="FZ85" s="36"/>
      <c r="GA85" s="36"/>
      <c r="GB85" s="36"/>
      <c r="GC85" s="37"/>
      <c r="GD85" s="159"/>
      <c r="GE85" s="157"/>
      <c r="GF85" s="157"/>
      <c r="GG85" s="157"/>
      <c r="GH85" s="157"/>
      <c r="GI85" s="160"/>
      <c r="GJ85" s="157"/>
      <c r="GK85" s="157"/>
      <c r="GL85" s="157"/>
      <c r="GM85" s="157"/>
      <c r="GN85" s="157"/>
      <c r="GO85" s="161"/>
      <c r="GP85" s="157"/>
      <c r="GQ85" s="157"/>
      <c r="GR85" s="157"/>
      <c r="GS85" s="157"/>
      <c r="GT85" s="157"/>
      <c r="GU85" s="158"/>
      <c r="GV85" s="157"/>
      <c r="GW85" s="157"/>
      <c r="GX85" s="157"/>
      <c r="GY85" s="157"/>
      <c r="GZ85" s="157"/>
      <c r="HA85" s="161"/>
      <c r="HB85" s="157"/>
      <c r="HC85" s="157"/>
      <c r="HD85" s="157"/>
      <c r="HE85" s="157"/>
      <c r="HF85" s="157"/>
      <c r="HG85" s="158"/>
      <c r="HH85" s="157"/>
      <c r="HI85" s="157"/>
      <c r="HJ85" s="157"/>
      <c r="HK85" s="157"/>
      <c r="HL85" s="157"/>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27</v>
      </c>
      <c r="B86" s="51"/>
      <c r="C86" s="200"/>
      <c r="D86" s="121" t="str">
        <f t="shared" si="1"/>
        <v>7h 50 min</v>
      </c>
      <c r="E86" s="30">
        <v>94</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164"/>
      <c r="MA86" s="164"/>
      <c r="MB86" s="164"/>
      <c r="MC86" s="166"/>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163"/>
      <c r="NC86" s="164"/>
      <c r="ND86" s="164"/>
      <c r="NE86" s="164"/>
      <c r="NF86" s="164"/>
      <c r="NG86" s="165"/>
      <c r="NH86" s="164"/>
      <c r="NI86" s="164"/>
      <c r="NJ86" s="164"/>
      <c r="NK86" s="164"/>
      <c r="NL86" s="164"/>
      <c r="NM86" s="166"/>
      <c r="NN86" s="164"/>
      <c r="NO86" s="164"/>
      <c r="NP86" s="164"/>
      <c r="NQ86" s="164"/>
      <c r="NR86" s="164"/>
      <c r="NS86" s="167"/>
      <c r="NT86" s="164"/>
      <c r="NU86" s="164"/>
      <c r="NV86" s="164"/>
      <c r="NW86" s="164"/>
      <c r="NX86" s="164"/>
      <c r="NY86" s="166"/>
      <c r="NZ86" s="164"/>
      <c r="OA86" s="164"/>
      <c r="OB86" s="164"/>
      <c r="OC86" s="164"/>
      <c r="OD86" s="164"/>
      <c r="OE86" s="167"/>
      <c r="OF86" s="164"/>
      <c r="OG86" s="164"/>
      <c r="OH86" s="164"/>
      <c r="OI86" s="164"/>
      <c r="OJ86" s="164"/>
      <c r="OK86" s="166"/>
      <c r="OL86" s="164"/>
      <c r="OM86" s="164"/>
      <c r="ON86" s="164"/>
      <c r="OO86" s="164"/>
      <c r="OP86" s="164"/>
      <c r="OQ86" s="167"/>
      <c r="OR86" s="164"/>
      <c r="OS86" s="164"/>
      <c r="OT86" s="164"/>
      <c r="OU86" s="164"/>
      <c r="OV86" s="164"/>
      <c r="OW86" s="166"/>
      <c r="OX86" s="24"/>
      <c r="OY86" s="24"/>
      <c r="OZ86" s="24"/>
      <c r="PA86" s="24"/>
      <c r="PB86" s="24"/>
      <c r="PC86" s="56"/>
      <c r="PD86" s="24"/>
      <c r="PE86" s="24"/>
      <c r="PF86" s="24"/>
      <c r="PG86" s="24"/>
      <c r="PH86" s="24"/>
      <c r="PI86" s="25"/>
      <c r="PJ86" s="163"/>
      <c r="PK86" s="164"/>
      <c r="PL86" s="164"/>
      <c r="PM86" s="164"/>
      <c r="PN86" s="164"/>
      <c r="PO86" s="165"/>
      <c r="PP86" s="164"/>
      <c r="PQ86" s="164"/>
      <c r="PR86" s="164"/>
      <c r="PS86" s="164"/>
      <c r="PT86" s="164"/>
      <c r="PU86" s="166"/>
      <c r="PV86" s="164"/>
      <c r="PW86" s="164"/>
      <c r="PX86" s="164"/>
      <c r="PY86" s="164"/>
      <c r="PZ86" s="164"/>
      <c r="QA86" s="167"/>
      <c r="QB86" s="164"/>
      <c r="QC86" s="164"/>
      <c r="QD86" s="164"/>
      <c r="QE86" s="164"/>
      <c r="QF86" s="164"/>
      <c r="QG86" s="166"/>
      <c r="QH86" s="164"/>
      <c r="QI86" s="164"/>
      <c r="QJ86" s="164"/>
      <c r="QK86" s="164"/>
      <c r="QL86" s="164"/>
      <c r="QM86" s="167"/>
      <c r="QN86" s="164"/>
      <c r="QO86" s="164"/>
      <c r="QP86" s="164"/>
      <c r="QQ86" s="164"/>
      <c r="QR86" s="164"/>
      <c r="QS86" s="166"/>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163"/>
      <c r="RS86" s="164"/>
      <c r="RT86" s="164"/>
      <c r="RU86" s="164"/>
      <c r="RV86" s="164"/>
      <c r="RW86" s="165"/>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00000000000001" customHeight="1" x14ac:dyDescent="0.25">
      <c r="A87" s="78" t="s">
        <v>26</v>
      </c>
      <c r="B87" s="51"/>
      <c r="C87" s="199" t="s">
        <v>74</v>
      </c>
      <c r="D87" s="119" t="str">
        <f t="shared" si="1"/>
        <v xml:space="preserve"> 45 min</v>
      </c>
      <c r="E87" s="34">
        <v>9</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154"/>
      <c r="AUC87" s="154"/>
      <c r="AUD87" s="154"/>
      <c r="AUE87" s="154"/>
      <c r="AUF87" s="154"/>
      <c r="AUG87" s="156"/>
      <c r="AUH87" s="154"/>
      <c r="AUI87" s="154"/>
      <c r="AUJ87" s="154"/>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27</v>
      </c>
      <c r="B88" s="51"/>
      <c r="C88" s="200"/>
      <c r="D88" s="120" t="str">
        <f t="shared" si="1"/>
        <v/>
      </c>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00000000000001" customHeight="1" x14ac:dyDescent="0.25">
      <c r="A89" s="78" t="s">
        <v>26</v>
      </c>
      <c r="B89" s="51"/>
      <c r="C89" s="199"/>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27</v>
      </c>
      <c r="B90" s="51"/>
      <c r="C90" s="200"/>
      <c r="D90" s="121" t="str">
        <f t="shared" si="1"/>
        <v/>
      </c>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00000000000001" customHeight="1" x14ac:dyDescent="0.25">
      <c r="A91" s="78" t="s">
        <v>26</v>
      </c>
      <c r="B91" s="51"/>
      <c r="C91" s="199"/>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27</v>
      </c>
      <c r="B92" s="51"/>
      <c r="C92" s="200"/>
      <c r="D92" s="121" t="str">
        <f t="shared" si="1"/>
        <v/>
      </c>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00000000000001" customHeight="1" x14ac:dyDescent="0.25">
      <c r="A93" s="78" t="s">
        <v>26</v>
      </c>
      <c r="B93" s="51"/>
      <c r="C93" s="199"/>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27</v>
      </c>
      <c r="B94" s="51"/>
      <c r="C94" s="201"/>
      <c r="D94" s="120" t="str">
        <f t="shared" si="1"/>
        <v/>
      </c>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00000000000001" customHeight="1" x14ac:dyDescent="0.25">
      <c r="B95" s="51"/>
      <c r="C95" s="217" t="s">
        <v>31</v>
      </c>
      <c r="D95" s="218"/>
      <c r="E95" s="92">
        <f>SUM(E15,E17,E19,E21,E23,E25,E27,E29,E31,E33,E35,E37,E39,E41,E43,E45,E47,E49,E51,E53,E55,E57,E59,E61,E63,E65,E67,E69,E71,E73,E75,E77,E79,E81,E83,E85,E87,E89,E91,E93)</f>
        <v>1080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19"/>
      <c r="D96" s="220"/>
      <c r="E96" s="98" t="str">
        <f xml:space="preserve"> setValueToTime(E95)</f>
        <v>90h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13" t="s">
        <v>32</v>
      </c>
      <c r="D97" s="214"/>
      <c r="E97" s="93">
        <f>SUM(E16,E18,E20,E22,E24,E26,E28,E30,E32,E34,E36,E38,E40,E42,E44,E46,E48,E50,E52,E54,E56,E58,E60,E62,E64,E66,E68,E70,E72,E74,E76,E78,E80,E82,E84,E86,E88,E90,E92,E94)</f>
        <v>537</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15"/>
      <c r="D98" s="216"/>
      <c r="E98" s="97" t="str">
        <f xml:space="preserve"> setValueToTime(E97)</f>
        <v>44h 45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DV10:GC10"/>
    <mergeCell ref="G9:U9"/>
    <mergeCell ref="W9:AG9"/>
    <mergeCell ref="AH9:AW9"/>
    <mergeCell ref="C1:E1"/>
    <mergeCell ref="C7:E7"/>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CR10:DU10"/>
    <mergeCell ref="BN10:CP10"/>
    <mergeCell ref="DN14:DQ14"/>
    <mergeCell ref="C41:C42"/>
    <mergeCell ref="DB14:DE14"/>
    <mergeCell ref="AN14:AQ14"/>
    <mergeCell ref="AT14:AW14"/>
    <mergeCell ref="AZ14:BC14"/>
    <mergeCell ref="BF14:BI14"/>
    <mergeCell ref="BR14:BU14"/>
    <mergeCell ref="BX14:CA14"/>
    <mergeCell ref="CD14:CG14"/>
    <mergeCell ref="CJ14:CM14"/>
    <mergeCell ref="C19:C20"/>
    <mergeCell ref="C29:C30"/>
    <mergeCell ref="E13:E14"/>
    <mergeCell ref="C13:C14"/>
    <mergeCell ref="C27:C28"/>
    <mergeCell ref="C25:C26"/>
    <mergeCell ref="C23:C24"/>
    <mergeCell ref="C91:C92"/>
    <mergeCell ref="C49:C50"/>
    <mergeCell ref="C47:C48"/>
    <mergeCell ref="C63:C64"/>
    <mergeCell ref="C51:C52"/>
    <mergeCell ref="C39:C40"/>
    <mergeCell ref="C43:C44"/>
    <mergeCell ref="C31:C32"/>
    <mergeCell ref="C79:C80"/>
    <mergeCell ref="C77:C78"/>
    <mergeCell ref="C75:C76"/>
    <mergeCell ref="C73:C74"/>
    <mergeCell ref="C71:C72"/>
    <mergeCell ref="C69:C70"/>
    <mergeCell ref="C67:C68"/>
    <mergeCell ref="C65:C66"/>
    <mergeCell ref="F12:BM12"/>
    <mergeCell ref="BN12:DU12"/>
    <mergeCell ref="FP14:FS1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11:E12"/>
    <mergeCell ref="C15:C16"/>
    <mergeCell ref="C21:C22"/>
    <mergeCell ref="DV11:GC11"/>
    <mergeCell ref="FD14:FG14"/>
    <mergeCell ref="ER14:EU14"/>
    <mergeCell ref="EF14:EI14"/>
    <mergeCell ref="FV14:FY14"/>
    <mergeCell ref="FJ14:FM14"/>
    <mergeCell ref="EX14:FA14"/>
    <mergeCell ref="EL14:EO14"/>
    <mergeCell ref="DZ14:EC14"/>
    <mergeCell ref="DV13:GC13"/>
    <mergeCell ref="DV12:GC12"/>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4"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164" activePane="bottomLeft" state="frozen"/>
      <selection activeCell="BC13" sqref="BC13"/>
      <selection pane="bottomLeft" activeCell="B269" sqref="B269"/>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69.75" customHeight="1" thickBot="1" x14ac:dyDescent="0.35">
      <c r="A1" s="148"/>
      <c r="B1" s="148"/>
      <c r="C1" s="148"/>
      <c r="D1" s="149"/>
    </row>
    <row r="2" spans="1:8" s="39" customFormat="1" ht="30" customHeight="1" thickBot="1" x14ac:dyDescent="0.3">
      <c r="B2" s="64" t="s">
        <v>33</v>
      </c>
      <c r="C2" s="136">
        <v>27</v>
      </c>
      <c r="D2" s="136"/>
      <c r="E2" s="65" t="s">
        <v>34</v>
      </c>
      <c r="F2" s="77">
        <v>46174</v>
      </c>
      <c r="G2" s="101" t="s">
        <v>75</v>
      </c>
      <c r="H2" s="151"/>
    </row>
    <row r="3" spans="1:8" s="39" customFormat="1" ht="30" customHeight="1" thickBot="1" x14ac:dyDescent="0.3">
      <c r="B3" s="63" t="s">
        <v>35</v>
      </c>
      <c r="C3" s="123" t="s">
        <v>36</v>
      </c>
      <c r="D3" s="124"/>
      <c r="E3" s="63" t="s">
        <v>37</v>
      </c>
      <c r="F3" s="222" t="s">
        <v>38</v>
      </c>
      <c r="G3" s="223"/>
      <c r="H3" s="151"/>
    </row>
    <row r="4" spans="1:8" s="43" customFormat="1" x14ac:dyDescent="0.3">
      <c r="B4" s="40" t="s">
        <v>59</v>
      </c>
      <c r="C4" s="41">
        <v>13</v>
      </c>
      <c r="D4" s="125" t="str">
        <f xml:space="preserve"> IF(C4="","",setValueToTime(C4))</f>
        <v>1h 5 min</v>
      </c>
      <c r="E4" s="42"/>
      <c r="F4" s="175"/>
      <c r="G4" s="176"/>
      <c r="H4" s="152"/>
    </row>
    <row r="5" spans="1:8" s="43" customFormat="1" ht="27" x14ac:dyDescent="0.3">
      <c r="B5" s="44" t="s">
        <v>71</v>
      </c>
      <c r="C5" s="45">
        <v>6</v>
      </c>
      <c r="D5" s="126" t="str">
        <f t="shared" ref="D5:D11" si="0" xml:space="preserve"> IF(C5="","",setValueToTime(C5))</f>
        <v xml:space="preserve"> 30 min</v>
      </c>
      <c r="E5" s="46"/>
      <c r="F5" s="177"/>
      <c r="G5" s="178"/>
      <c r="H5" s="152"/>
    </row>
    <row r="6" spans="1:8" s="43" customFormat="1" x14ac:dyDescent="0.3">
      <c r="B6" s="44"/>
      <c r="C6" s="45"/>
      <c r="D6" s="126" t="str">
        <f t="shared" si="0"/>
        <v/>
      </c>
      <c r="E6" s="46"/>
      <c r="F6" s="177"/>
      <c r="G6" s="178"/>
      <c r="H6" s="152"/>
    </row>
    <row r="7" spans="1:8" s="43" customFormat="1" x14ac:dyDescent="0.3">
      <c r="B7" s="44"/>
      <c r="C7" s="45"/>
      <c r="D7" s="126" t="str">
        <f t="shared" si="0"/>
        <v/>
      </c>
      <c r="E7" s="46"/>
      <c r="F7" s="177"/>
      <c r="G7" s="178"/>
      <c r="H7" s="152"/>
    </row>
    <row r="8" spans="1:8" s="43" customFormat="1" x14ac:dyDescent="0.3">
      <c r="B8" s="44"/>
      <c r="C8" s="45"/>
      <c r="D8" s="127" t="str">
        <f t="shared" si="0"/>
        <v/>
      </c>
      <c r="E8" s="46"/>
      <c r="F8" s="177"/>
      <c r="G8" s="178"/>
      <c r="H8" s="152"/>
    </row>
    <row r="9" spans="1:8" s="43" customFormat="1" x14ac:dyDescent="0.3">
      <c r="B9" s="44"/>
      <c r="C9" s="45"/>
      <c r="D9" s="127" t="str">
        <f t="shared" si="0"/>
        <v/>
      </c>
      <c r="E9" s="46"/>
      <c r="F9" s="177"/>
      <c r="G9" s="178"/>
      <c r="H9" s="152"/>
    </row>
    <row r="10" spans="1:8" s="43" customFormat="1" x14ac:dyDescent="0.3">
      <c r="B10" s="44"/>
      <c r="C10" s="45"/>
      <c r="D10" s="127" t="str">
        <f t="shared" si="0"/>
        <v/>
      </c>
      <c r="E10" s="46"/>
      <c r="F10" s="177"/>
      <c r="G10" s="178"/>
      <c r="H10" s="152"/>
    </row>
    <row r="11" spans="1:8" s="43" customFormat="1" ht="15" thickBot="1" x14ac:dyDescent="0.35">
      <c r="B11" s="44"/>
      <c r="C11" s="47"/>
      <c r="D11" s="128" t="str">
        <f t="shared" si="0"/>
        <v/>
      </c>
      <c r="E11" s="48"/>
      <c r="F11" s="181"/>
      <c r="G11" s="182"/>
      <c r="H11" s="152"/>
    </row>
    <row r="12" spans="1:8" s="43" customFormat="1" ht="15" thickBot="1" x14ac:dyDescent="0.35">
      <c r="B12" s="86" t="s">
        <v>40</v>
      </c>
      <c r="C12" s="67">
        <f>SUM(C4:C11)</f>
        <v>19</v>
      </c>
      <c r="D12" s="86" t="str">
        <f xml:space="preserve"> setValueToTime(C12)</f>
        <v>1h 35 min</v>
      </c>
      <c r="E12" s="95"/>
      <c r="F12" s="224"/>
      <c r="G12" s="225"/>
      <c r="H12" s="152"/>
    </row>
    <row r="13" spans="1:8" s="43" customFormat="1" ht="15" thickBot="1" x14ac:dyDescent="0.35">
      <c r="B13" s="62"/>
      <c r="C13" s="62"/>
      <c r="D13" s="62"/>
      <c r="E13" s="62"/>
      <c r="F13" s="62"/>
      <c r="G13" s="62"/>
      <c r="H13" s="152"/>
    </row>
    <row r="14" spans="1:8" s="39" customFormat="1" ht="30" customHeight="1" thickBot="1" x14ac:dyDescent="0.3">
      <c r="B14" s="64" t="s">
        <v>33</v>
      </c>
      <c r="C14" s="136">
        <v>26</v>
      </c>
      <c r="D14" s="136"/>
      <c r="E14" s="65" t="s">
        <v>34</v>
      </c>
      <c r="F14" s="77">
        <v>46171</v>
      </c>
      <c r="G14" s="101" t="s">
        <v>76</v>
      </c>
      <c r="H14" s="151"/>
    </row>
    <row r="15" spans="1:8" s="39" customFormat="1" ht="30" customHeight="1" thickBot="1" x14ac:dyDescent="0.3">
      <c r="B15" s="63" t="s">
        <v>35</v>
      </c>
      <c r="C15" s="123" t="s">
        <v>36</v>
      </c>
      <c r="D15" s="124"/>
      <c r="E15" s="63" t="s">
        <v>37</v>
      </c>
      <c r="F15" s="222" t="s">
        <v>38</v>
      </c>
      <c r="G15" s="223"/>
      <c r="H15" s="151"/>
    </row>
    <row r="16" spans="1:8" s="43" customFormat="1" x14ac:dyDescent="0.3">
      <c r="B16" s="40" t="s">
        <v>30</v>
      </c>
      <c r="C16" s="41">
        <v>25</v>
      </c>
      <c r="D16" s="125" t="str">
        <f xml:space="preserve"> IF(C16="","",setValueToTime(C16))</f>
        <v>2h 5 min</v>
      </c>
      <c r="E16" s="42"/>
      <c r="F16" s="175"/>
      <c r="G16" s="176"/>
      <c r="H16" s="152"/>
    </row>
    <row r="17" spans="2:8" s="43" customFormat="1" x14ac:dyDescent="0.3">
      <c r="B17" s="44" t="s">
        <v>59</v>
      </c>
      <c r="C17" s="45">
        <v>9</v>
      </c>
      <c r="D17" s="126" t="str">
        <f t="shared" ref="D17:D23" si="1" xml:space="preserve"> IF(C17="","",setValueToTime(C17))</f>
        <v xml:space="preserve"> 45 min</v>
      </c>
      <c r="E17" s="46"/>
      <c r="F17" s="177"/>
      <c r="G17" s="178"/>
      <c r="H17" s="152"/>
    </row>
    <row r="18" spans="2:8" s="43" customFormat="1" x14ac:dyDescent="0.3">
      <c r="B18" s="44" t="s">
        <v>29</v>
      </c>
      <c r="C18" s="45">
        <v>4</v>
      </c>
      <c r="D18" s="126" t="str">
        <f t="shared" ref="D18" si="2" xml:space="preserve"> IF(C18="","",setValueToTime(C18))</f>
        <v xml:space="preserve"> 20 min</v>
      </c>
      <c r="E18" s="46"/>
      <c r="F18" s="177"/>
      <c r="G18" s="178"/>
      <c r="H18" s="152"/>
    </row>
    <row r="19" spans="2:8" s="43" customFormat="1" x14ac:dyDescent="0.3">
      <c r="B19" s="44"/>
      <c r="C19" s="45"/>
      <c r="D19" s="126" t="str">
        <f t="shared" si="1"/>
        <v/>
      </c>
      <c r="E19" s="46"/>
      <c r="F19" s="177"/>
      <c r="G19" s="178"/>
      <c r="H19" s="152"/>
    </row>
    <row r="20" spans="2:8" s="43" customFormat="1" x14ac:dyDescent="0.3">
      <c r="B20" s="44"/>
      <c r="C20" s="45"/>
      <c r="D20" s="127" t="str">
        <f t="shared" si="1"/>
        <v/>
      </c>
      <c r="E20" s="46"/>
      <c r="F20" s="177"/>
      <c r="G20" s="178"/>
      <c r="H20" s="152"/>
    </row>
    <row r="21" spans="2:8" s="43" customFormat="1" x14ac:dyDescent="0.3">
      <c r="B21" s="44"/>
      <c r="C21" s="45"/>
      <c r="D21" s="127" t="str">
        <f t="shared" si="1"/>
        <v/>
      </c>
      <c r="E21" s="46"/>
      <c r="F21" s="177"/>
      <c r="G21" s="178"/>
      <c r="H21" s="152"/>
    </row>
    <row r="22" spans="2:8" s="43" customFormat="1" x14ac:dyDescent="0.3">
      <c r="B22" s="44"/>
      <c r="C22" s="45"/>
      <c r="D22" s="127" t="str">
        <f t="shared" si="1"/>
        <v/>
      </c>
      <c r="E22" s="46"/>
      <c r="F22" s="177"/>
      <c r="G22" s="178"/>
      <c r="H22" s="152"/>
    </row>
    <row r="23" spans="2:8" s="43" customFormat="1" ht="15" thickBot="1" x14ac:dyDescent="0.35">
      <c r="B23" s="44"/>
      <c r="C23" s="47"/>
      <c r="D23" s="128" t="str">
        <f t="shared" si="1"/>
        <v/>
      </c>
      <c r="E23" s="48"/>
      <c r="F23" s="181"/>
      <c r="G23" s="182"/>
      <c r="H23" s="152"/>
    </row>
    <row r="24" spans="2:8" s="43" customFormat="1" ht="15" thickBot="1" x14ac:dyDescent="0.35">
      <c r="B24" s="86" t="s">
        <v>40</v>
      </c>
      <c r="C24" s="67">
        <f>SUM(C16:C23)</f>
        <v>38</v>
      </c>
      <c r="D24" s="86" t="str">
        <f xml:space="preserve"> setValueToTime(C24)</f>
        <v>3h 10 min</v>
      </c>
      <c r="E24" s="95"/>
      <c r="F24" s="224"/>
      <c r="G24" s="225"/>
      <c r="H24" s="152"/>
    </row>
    <row r="25" spans="2:8" s="43" customFormat="1" ht="15" thickBot="1" x14ac:dyDescent="0.35">
      <c r="B25" s="62"/>
      <c r="C25" s="62"/>
      <c r="D25" s="62"/>
      <c r="E25" s="62"/>
      <c r="F25" s="62"/>
      <c r="G25" s="62"/>
      <c r="H25" s="152"/>
    </row>
    <row r="26" spans="2:8" s="39" customFormat="1" ht="30" customHeight="1" thickBot="1" x14ac:dyDescent="0.3">
      <c r="B26" s="64" t="s">
        <v>33</v>
      </c>
      <c r="C26" s="136">
        <v>25</v>
      </c>
      <c r="D26" s="136"/>
      <c r="E26" s="65" t="s">
        <v>34</v>
      </c>
      <c r="F26" s="77">
        <v>46171</v>
      </c>
      <c r="G26" s="101" t="s">
        <v>77</v>
      </c>
      <c r="H26" s="151"/>
    </row>
    <row r="27" spans="2:8" s="39" customFormat="1" ht="30" customHeight="1" thickBot="1" x14ac:dyDescent="0.3">
      <c r="B27" s="63" t="s">
        <v>35</v>
      </c>
      <c r="C27" s="123" t="s">
        <v>36</v>
      </c>
      <c r="D27" s="124"/>
      <c r="E27" s="63" t="s">
        <v>37</v>
      </c>
      <c r="F27" s="222" t="s">
        <v>38</v>
      </c>
      <c r="G27" s="223"/>
      <c r="H27" s="151"/>
    </row>
    <row r="28" spans="2:8" s="43" customFormat="1" x14ac:dyDescent="0.3">
      <c r="B28" s="40" t="s">
        <v>30</v>
      </c>
      <c r="C28" s="41">
        <v>48</v>
      </c>
      <c r="D28" s="125" t="str">
        <f xml:space="preserve"> IF(C28="","",setValueToTime(C28))</f>
        <v>4h</v>
      </c>
      <c r="E28" s="42"/>
      <c r="F28" s="175"/>
      <c r="G28" s="176"/>
      <c r="H28" s="152"/>
    </row>
    <row r="29" spans="2:8" s="43" customFormat="1" x14ac:dyDescent="0.3">
      <c r="B29" s="44"/>
      <c r="C29" s="45"/>
      <c r="D29" s="126" t="str">
        <f t="shared" ref="D29:D35" si="3" xml:space="preserve"> IF(C29="","",setValueToTime(C29))</f>
        <v/>
      </c>
      <c r="E29" s="46"/>
      <c r="F29" s="177"/>
      <c r="G29" s="178"/>
      <c r="H29" s="152"/>
    </row>
    <row r="30" spans="2:8" s="43" customFormat="1" x14ac:dyDescent="0.3">
      <c r="B30" s="44"/>
      <c r="C30" s="45"/>
      <c r="D30" s="126" t="str">
        <f t="shared" si="3"/>
        <v/>
      </c>
      <c r="E30" s="46"/>
      <c r="F30" s="177"/>
      <c r="G30" s="178"/>
      <c r="H30" s="152"/>
    </row>
    <row r="31" spans="2:8" s="43" customFormat="1" x14ac:dyDescent="0.3">
      <c r="B31" s="44"/>
      <c r="C31" s="45"/>
      <c r="D31" s="126" t="str">
        <f t="shared" si="3"/>
        <v/>
      </c>
      <c r="E31" s="46"/>
      <c r="F31" s="177"/>
      <c r="G31" s="178"/>
      <c r="H31" s="152"/>
    </row>
    <row r="32" spans="2:8" s="43" customFormat="1" x14ac:dyDescent="0.3">
      <c r="B32" s="44"/>
      <c r="C32" s="45"/>
      <c r="D32" s="127" t="str">
        <f t="shared" si="3"/>
        <v/>
      </c>
      <c r="E32" s="46"/>
      <c r="F32" s="177"/>
      <c r="G32" s="178"/>
      <c r="H32" s="152"/>
    </row>
    <row r="33" spans="2:8" s="43" customFormat="1" x14ac:dyDescent="0.3">
      <c r="B33" s="44"/>
      <c r="C33" s="45"/>
      <c r="D33" s="127" t="str">
        <f t="shared" si="3"/>
        <v/>
      </c>
      <c r="E33" s="46"/>
      <c r="F33" s="177"/>
      <c r="G33" s="178"/>
      <c r="H33" s="152"/>
    </row>
    <row r="34" spans="2:8" s="43" customFormat="1" x14ac:dyDescent="0.3">
      <c r="B34" s="44"/>
      <c r="C34" s="45"/>
      <c r="D34" s="127" t="str">
        <f t="shared" si="3"/>
        <v/>
      </c>
      <c r="E34" s="46"/>
      <c r="F34" s="177"/>
      <c r="G34" s="178"/>
      <c r="H34" s="152"/>
    </row>
    <row r="35" spans="2:8" s="43" customFormat="1" ht="15" thickBot="1" x14ac:dyDescent="0.35">
      <c r="B35" s="44"/>
      <c r="C35" s="47"/>
      <c r="D35" s="128" t="str">
        <f t="shared" si="3"/>
        <v/>
      </c>
      <c r="E35" s="48"/>
      <c r="F35" s="181"/>
      <c r="G35" s="182"/>
      <c r="H35" s="152"/>
    </row>
    <row r="36" spans="2:8" s="43" customFormat="1" ht="15" thickBot="1" x14ac:dyDescent="0.35">
      <c r="B36" s="86" t="s">
        <v>40</v>
      </c>
      <c r="C36" s="67">
        <f>SUM(C28:C35)</f>
        <v>48</v>
      </c>
      <c r="D36" s="86" t="str">
        <f xml:space="preserve"> setValueToTime(C36)</f>
        <v>4h</v>
      </c>
      <c r="E36" s="95"/>
      <c r="F36" s="224"/>
      <c r="G36" s="225"/>
      <c r="H36" s="152"/>
    </row>
    <row r="37" spans="2:8" s="43" customFormat="1" ht="15" thickBot="1" x14ac:dyDescent="0.35">
      <c r="B37" s="62"/>
      <c r="C37" s="62"/>
      <c r="D37" s="62"/>
      <c r="E37" s="62"/>
      <c r="F37" s="62"/>
      <c r="G37" s="62"/>
      <c r="H37" s="152"/>
    </row>
    <row r="38" spans="2:8" s="39" customFormat="1" ht="30" customHeight="1" thickBot="1" x14ac:dyDescent="0.3">
      <c r="B38" s="64" t="s">
        <v>33</v>
      </c>
      <c r="C38" s="136">
        <v>24</v>
      </c>
      <c r="D38" s="136"/>
      <c r="E38" s="65" t="s">
        <v>34</v>
      </c>
      <c r="F38" s="77">
        <v>46170</v>
      </c>
      <c r="G38" s="101" t="s">
        <v>76</v>
      </c>
      <c r="H38" s="151"/>
    </row>
    <row r="39" spans="2:8" s="39" customFormat="1" ht="30" customHeight="1" thickBot="1" x14ac:dyDescent="0.3">
      <c r="B39" s="63" t="s">
        <v>35</v>
      </c>
      <c r="C39" s="123" t="s">
        <v>36</v>
      </c>
      <c r="D39" s="124"/>
      <c r="E39" s="63" t="s">
        <v>37</v>
      </c>
      <c r="F39" s="222" t="s">
        <v>38</v>
      </c>
      <c r="G39" s="223"/>
      <c r="H39" s="151"/>
    </row>
    <row r="40" spans="2:8" s="43" customFormat="1" ht="27" x14ac:dyDescent="0.3">
      <c r="B40" s="40" t="s">
        <v>63</v>
      </c>
      <c r="C40" s="41">
        <v>31</v>
      </c>
      <c r="D40" s="125" t="str">
        <f xml:space="preserve"> IF(C40="","",setValueToTime(C40))</f>
        <v>2h 35 min</v>
      </c>
      <c r="E40" s="42"/>
      <c r="F40" s="175"/>
      <c r="G40" s="176"/>
      <c r="H40" s="152"/>
    </row>
    <row r="41" spans="2:8" s="43" customFormat="1" x14ac:dyDescent="0.3">
      <c r="B41" s="44" t="s">
        <v>30</v>
      </c>
      <c r="C41" s="45">
        <v>4</v>
      </c>
      <c r="D41" s="126" t="str">
        <f t="shared" ref="D41:D47" si="4" xml:space="preserve"> IF(C41="","",setValueToTime(C41))</f>
        <v xml:space="preserve"> 20 min</v>
      </c>
      <c r="E41" s="46"/>
      <c r="F41" s="177"/>
      <c r="G41" s="178"/>
      <c r="H41" s="152"/>
    </row>
    <row r="42" spans="2:8" s="43" customFormat="1" x14ac:dyDescent="0.3">
      <c r="B42" s="44" t="s">
        <v>29</v>
      </c>
      <c r="C42" s="45">
        <v>3</v>
      </c>
      <c r="D42" s="126" t="str">
        <f t="shared" si="4"/>
        <v xml:space="preserve"> 15 min</v>
      </c>
      <c r="E42" s="46"/>
      <c r="F42" s="177"/>
      <c r="G42" s="178"/>
      <c r="H42" s="152"/>
    </row>
    <row r="43" spans="2:8" s="43" customFormat="1" x14ac:dyDescent="0.3">
      <c r="B43" s="44"/>
      <c r="C43" s="45"/>
      <c r="D43" s="126" t="str">
        <f t="shared" si="4"/>
        <v/>
      </c>
      <c r="E43" s="46"/>
      <c r="F43" s="177"/>
      <c r="G43" s="178"/>
      <c r="H43" s="152"/>
    </row>
    <row r="44" spans="2:8" s="43" customFormat="1" x14ac:dyDescent="0.3">
      <c r="B44" s="44"/>
      <c r="C44" s="45"/>
      <c r="D44" s="127" t="str">
        <f t="shared" si="4"/>
        <v/>
      </c>
      <c r="E44" s="46"/>
      <c r="F44" s="177"/>
      <c r="G44" s="178"/>
      <c r="H44" s="152"/>
    </row>
    <row r="45" spans="2:8" s="43" customFormat="1" x14ac:dyDescent="0.3">
      <c r="B45" s="44"/>
      <c r="C45" s="45"/>
      <c r="D45" s="127" t="str">
        <f t="shared" si="4"/>
        <v/>
      </c>
      <c r="E45" s="46"/>
      <c r="F45" s="177"/>
      <c r="G45" s="178"/>
      <c r="H45" s="152"/>
    </row>
    <row r="46" spans="2:8" s="43" customFormat="1" x14ac:dyDescent="0.3">
      <c r="B46" s="44"/>
      <c r="C46" s="45"/>
      <c r="D46" s="127" t="str">
        <f t="shared" si="4"/>
        <v/>
      </c>
      <c r="E46" s="46"/>
      <c r="F46" s="177"/>
      <c r="G46" s="178"/>
      <c r="H46" s="152"/>
    </row>
    <row r="47" spans="2:8" s="43" customFormat="1" ht="15" thickBot="1" x14ac:dyDescent="0.35">
      <c r="B47" s="44"/>
      <c r="C47" s="47"/>
      <c r="D47" s="128" t="str">
        <f t="shared" si="4"/>
        <v/>
      </c>
      <c r="E47" s="48"/>
      <c r="F47" s="181"/>
      <c r="G47" s="182"/>
      <c r="H47" s="152"/>
    </row>
    <row r="48" spans="2:8" s="43" customFormat="1" ht="15" thickBot="1" x14ac:dyDescent="0.35">
      <c r="B48" s="86" t="s">
        <v>40</v>
      </c>
      <c r="C48" s="67">
        <f>SUM(C40:C47)</f>
        <v>38</v>
      </c>
      <c r="D48" s="86" t="str">
        <f xml:space="preserve"> setValueToTime(C48)</f>
        <v>3h 10 min</v>
      </c>
      <c r="E48" s="95"/>
      <c r="F48" s="224"/>
      <c r="G48" s="225"/>
      <c r="H48" s="152"/>
    </row>
    <row r="49" spans="2:8" s="43" customFormat="1" ht="15" thickBot="1" x14ac:dyDescent="0.35">
      <c r="B49" s="62"/>
      <c r="C49" s="62"/>
      <c r="D49" s="62"/>
      <c r="E49" s="62"/>
      <c r="F49" s="62"/>
      <c r="G49" s="62"/>
      <c r="H49" s="152"/>
    </row>
    <row r="50" spans="2:8" s="39" customFormat="1" ht="30" customHeight="1" thickBot="1" x14ac:dyDescent="0.3">
      <c r="B50" s="64" t="s">
        <v>33</v>
      </c>
      <c r="C50" s="136">
        <v>23</v>
      </c>
      <c r="D50" s="136"/>
      <c r="E50" s="65" t="s">
        <v>34</v>
      </c>
      <c r="F50" s="77">
        <v>46170</v>
      </c>
      <c r="G50" s="101" t="s">
        <v>77</v>
      </c>
      <c r="H50" s="151"/>
    </row>
    <row r="51" spans="2:8" s="39" customFormat="1" ht="30" customHeight="1" thickBot="1" x14ac:dyDescent="0.3">
      <c r="B51" s="63" t="s">
        <v>35</v>
      </c>
      <c r="C51" s="123" t="s">
        <v>36</v>
      </c>
      <c r="D51" s="124"/>
      <c r="E51" s="63" t="s">
        <v>37</v>
      </c>
      <c r="F51" s="222" t="s">
        <v>38</v>
      </c>
      <c r="G51" s="223"/>
      <c r="H51" s="151"/>
    </row>
    <row r="52" spans="2:8" s="43" customFormat="1" ht="27" x14ac:dyDescent="0.3">
      <c r="B52" s="40" t="s">
        <v>46</v>
      </c>
      <c r="C52" s="41">
        <v>18</v>
      </c>
      <c r="D52" s="125" t="str">
        <f xml:space="preserve"> IF(C52="","",setValueToTime(C52))</f>
        <v>1h 30 min</v>
      </c>
      <c r="E52" s="42"/>
      <c r="F52" s="175"/>
      <c r="G52" s="176"/>
      <c r="H52" s="152"/>
    </row>
    <row r="53" spans="2:8" s="43" customFormat="1" ht="27" x14ac:dyDescent="0.3">
      <c r="B53" s="44" t="s">
        <v>63</v>
      </c>
      <c r="C53" s="45">
        <v>30</v>
      </c>
      <c r="D53" s="126" t="str">
        <f xml:space="preserve"> IF(C53="","",setValueToTime(C53))</f>
        <v>2h 30 min</v>
      </c>
      <c r="E53" s="46"/>
      <c r="F53" s="177"/>
      <c r="G53" s="178"/>
      <c r="H53" s="152"/>
    </row>
    <row r="54" spans="2:8" s="43" customFormat="1" x14ac:dyDescent="0.3">
      <c r="B54" s="44"/>
      <c r="C54" s="45"/>
      <c r="D54" s="126" t="str">
        <f t="shared" ref="D54:D59" si="5" xml:space="preserve"> IF(C54="","",setValueToTime(C54))</f>
        <v/>
      </c>
      <c r="E54" s="46"/>
      <c r="F54" s="177"/>
      <c r="G54" s="178"/>
      <c r="H54" s="152"/>
    </row>
    <row r="55" spans="2:8" s="43" customFormat="1" x14ac:dyDescent="0.3">
      <c r="B55" s="44"/>
      <c r="C55" s="45"/>
      <c r="D55" s="126" t="str">
        <f t="shared" si="5"/>
        <v/>
      </c>
      <c r="E55" s="46"/>
      <c r="F55" s="177"/>
      <c r="G55" s="178"/>
      <c r="H55" s="152"/>
    </row>
    <row r="56" spans="2:8" s="43" customFormat="1" x14ac:dyDescent="0.3">
      <c r="B56" s="44"/>
      <c r="C56" s="45"/>
      <c r="D56" s="127" t="str">
        <f t="shared" si="5"/>
        <v/>
      </c>
      <c r="E56" s="46"/>
      <c r="F56" s="177"/>
      <c r="G56" s="178"/>
      <c r="H56" s="152"/>
    </row>
    <row r="57" spans="2:8" s="43" customFormat="1" x14ac:dyDescent="0.3">
      <c r="B57" s="44"/>
      <c r="C57" s="45"/>
      <c r="D57" s="127" t="str">
        <f t="shared" si="5"/>
        <v/>
      </c>
      <c r="E57" s="46"/>
      <c r="F57" s="177"/>
      <c r="G57" s="178"/>
      <c r="H57" s="152"/>
    </row>
    <row r="58" spans="2:8" s="43" customFormat="1" x14ac:dyDescent="0.3">
      <c r="B58" s="44"/>
      <c r="C58" s="45"/>
      <c r="D58" s="127" t="str">
        <f t="shared" si="5"/>
        <v/>
      </c>
      <c r="E58" s="46"/>
      <c r="F58" s="177"/>
      <c r="G58" s="178"/>
      <c r="H58" s="152"/>
    </row>
    <row r="59" spans="2:8" s="43" customFormat="1" ht="15" thickBot="1" x14ac:dyDescent="0.35">
      <c r="B59" s="44"/>
      <c r="C59" s="47"/>
      <c r="D59" s="128" t="str">
        <f t="shared" si="5"/>
        <v/>
      </c>
      <c r="E59" s="48"/>
      <c r="F59" s="181"/>
      <c r="G59" s="182"/>
      <c r="H59" s="152"/>
    </row>
    <row r="60" spans="2:8" s="43" customFormat="1" ht="15" thickBot="1" x14ac:dyDescent="0.35">
      <c r="B60" s="86" t="s">
        <v>40</v>
      </c>
      <c r="C60" s="67">
        <f>SUM(C52:C59)</f>
        <v>48</v>
      </c>
      <c r="D60" s="86" t="str">
        <f xml:space="preserve"> setValueToTime(C60)</f>
        <v>4h</v>
      </c>
      <c r="E60" s="95"/>
      <c r="F60" s="224"/>
      <c r="G60" s="225"/>
      <c r="H60" s="152"/>
    </row>
    <row r="61" spans="2:8" s="43" customFormat="1" ht="15" thickBot="1" x14ac:dyDescent="0.35">
      <c r="B61" s="62"/>
      <c r="C61" s="62"/>
      <c r="D61" s="62"/>
      <c r="E61" s="62"/>
      <c r="F61" s="62"/>
      <c r="G61" s="62"/>
      <c r="H61" s="152"/>
    </row>
    <row r="62" spans="2:8" s="39" customFormat="1" ht="30" customHeight="1" thickBot="1" x14ac:dyDescent="0.3">
      <c r="B62" s="64" t="s">
        <v>33</v>
      </c>
      <c r="C62" s="136">
        <v>22</v>
      </c>
      <c r="D62" s="136"/>
      <c r="E62" s="65" t="s">
        <v>34</v>
      </c>
      <c r="F62" s="77">
        <v>46169</v>
      </c>
      <c r="G62" s="101" t="s">
        <v>76</v>
      </c>
      <c r="H62" s="151"/>
    </row>
    <row r="63" spans="2:8" s="39" customFormat="1" ht="30" customHeight="1" thickBot="1" x14ac:dyDescent="0.3">
      <c r="B63" s="63" t="s">
        <v>35</v>
      </c>
      <c r="C63" s="123" t="s">
        <v>36</v>
      </c>
      <c r="D63" s="124"/>
      <c r="E63" s="63" t="s">
        <v>37</v>
      </c>
      <c r="F63" s="222" t="s">
        <v>38</v>
      </c>
      <c r="G63" s="223"/>
      <c r="H63" s="151"/>
    </row>
    <row r="64" spans="2:8" s="43" customFormat="1" ht="27" x14ac:dyDescent="0.3">
      <c r="B64" s="40" t="s">
        <v>46</v>
      </c>
      <c r="C64" s="41">
        <v>34</v>
      </c>
      <c r="D64" s="125" t="str">
        <f xml:space="preserve"> IF(C64="","",setValueToTime(C64))</f>
        <v>2h 50 min</v>
      </c>
      <c r="E64" s="42"/>
      <c r="F64" s="175"/>
      <c r="G64" s="176"/>
      <c r="H64" s="152"/>
    </row>
    <row r="65" spans="2:8" s="43" customFormat="1" x14ac:dyDescent="0.3">
      <c r="B65" s="44" t="s">
        <v>29</v>
      </c>
      <c r="C65" s="45">
        <v>4</v>
      </c>
      <c r="D65" s="126" t="str">
        <f t="shared" ref="D65:D71" si="6" xml:space="preserve"> IF(C65="","",setValueToTime(C65))</f>
        <v xml:space="preserve"> 20 min</v>
      </c>
      <c r="E65" s="46"/>
      <c r="F65" s="177"/>
      <c r="G65" s="178"/>
      <c r="H65" s="152"/>
    </row>
    <row r="66" spans="2:8" s="43" customFormat="1" x14ac:dyDescent="0.3">
      <c r="B66" s="44"/>
      <c r="C66" s="45"/>
      <c r="D66" s="126" t="str">
        <f t="shared" si="6"/>
        <v/>
      </c>
      <c r="E66" s="46"/>
      <c r="F66" s="177"/>
      <c r="G66" s="178"/>
      <c r="H66" s="152"/>
    </row>
    <row r="67" spans="2:8" s="43" customFormat="1" x14ac:dyDescent="0.3">
      <c r="B67" s="44"/>
      <c r="C67" s="45"/>
      <c r="D67" s="126" t="str">
        <f t="shared" si="6"/>
        <v/>
      </c>
      <c r="E67" s="46"/>
      <c r="F67" s="177"/>
      <c r="G67" s="178"/>
      <c r="H67" s="152"/>
    </row>
    <row r="68" spans="2:8" s="43" customFormat="1" x14ac:dyDescent="0.3">
      <c r="B68" s="44"/>
      <c r="C68" s="45"/>
      <c r="D68" s="127" t="str">
        <f t="shared" si="6"/>
        <v/>
      </c>
      <c r="E68" s="46"/>
      <c r="F68" s="177"/>
      <c r="G68" s="178"/>
      <c r="H68" s="152"/>
    </row>
    <row r="69" spans="2:8" s="43" customFormat="1" x14ac:dyDescent="0.3">
      <c r="B69" s="44"/>
      <c r="C69" s="45"/>
      <c r="D69" s="127" t="str">
        <f t="shared" si="6"/>
        <v/>
      </c>
      <c r="E69" s="46"/>
      <c r="F69" s="177"/>
      <c r="G69" s="178"/>
      <c r="H69" s="152"/>
    </row>
    <row r="70" spans="2:8" s="43" customFormat="1" x14ac:dyDescent="0.3">
      <c r="B70" s="44"/>
      <c r="C70" s="45"/>
      <c r="D70" s="127" t="str">
        <f t="shared" si="6"/>
        <v/>
      </c>
      <c r="E70" s="46"/>
      <c r="F70" s="177"/>
      <c r="G70" s="178"/>
      <c r="H70" s="152"/>
    </row>
    <row r="71" spans="2:8" s="43" customFormat="1" ht="15" thickBot="1" x14ac:dyDescent="0.35">
      <c r="B71" s="44"/>
      <c r="C71" s="47"/>
      <c r="D71" s="128" t="str">
        <f t="shared" si="6"/>
        <v/>
      </c>
      <c r="E71" s="48"/>
      <c r="F71" s="181"/>
      <c r="G71" s="182"/>
      <c r="H71" s="152"/>
    </row>
    <row r="72" spans="2:8" s="43" customFormat="1" ht="15" thickBot="1" x14ac:dyDescent="0.35">
      <c r="B72" s="86" t="s">
        <v>40</v>
      </c>
      <c r="C72" s="67">
        <f>SUM(C64:C71)</f>
        <v>38</v>
      </c>
      <c r="D72" s="86" t="str">
        <f xml:space="preserve"> setValueToTime(C72)</f>
        <v>3h 10 min</v>
      </c>
      <c r="E72" s="95"/>
      <c r="F72" s="224"/>
      <c r="G72" s="225"/>
      <c r="H72" s="152"/>
    </row>
    <row r="73" spans="2:8" s="43" customFormat="1" ht="15" thickBot="1" x14ac:dyDescent="0.35">
      <c r="B73" s="62"/>
      <c r="C73" s="62"/>
      <c r="D73" s="62"/>
      <c r="E73" s="62"/>
      <c r="F73" s="62"/>
      <c r="G73" s="62"/>
      <c r="H73" s="152"/>
    </row>
    <row r="74" spans="2:8" s="39" customFormat="1" ht="30" customHeight="1" thickBot="1" x14ac:dyDescent="0.3">
      <c r="B74" s="64" t="s">
        <v>33</v>
      </c>
      <c r="C74" s="136">
        <v>21</v>
      </c>
      <c r="D74" s="136"/>
      <c r="E74" s="65" t="s">
        <v>34</v>
      </c>
      <c r="F74" s="77">
        <v>46169</v>
      </c>
      <c r="G74" s="101" t="s">
        <v>77</v>
      </c>
      <c r="H74" s="151"/>
    </row>
    <row r="75" spans="2:8" s="39" customFormat="1" ht="30" customHeight="1" thickBot="1" x14ac:dyDescent="0.3">
      <c r="B75" s="63" t="s">
        <v>35</v>
      </c>
      <c r="C75" s="123" t="s">
        <v>36</v>
      </c>
      <c r="D75" s="124"/>
      <c r="E75" s="63" t="s">
        <v>37</v>
      </c>
      <c r="F75" s="222" t="s">
        <v>38</v>
      </c>
      <c r="G75" s="223"/>
      <c r="H75" s="151"/>
    </row>
    <row r="76" spans="2:8" s="43" customFormat="1" ht="40.5" x14ac:dyDescent="0.3">
      <c r="B76" s="40" t="s">
        <v>58</v>
      </c>
      <c r="C76" s="41">
        <v>18</v>
      </c>
      <c r="D76" s="125" t="str">
        <f xml:space="preserve"> IF(C76="","",setValueToTime(C76))</f>
        <v>1h 30 min</v>
      </c>
      <c r="E76" s="42"/>
      <c r="F76" s="175"/>
      <c r="G76" s="176"/>
      <c r="H76" s="152"/>
    </row>
    <row r="77" spans="2:8" s="43" customFormat="1" ht="27" x14ac:dyDescent="0.3">
      <c r="B77" s="44" t="s">
        <v>74</v>
      </c>
      <c r="C77" s="45">
        <v>9</v>
      </c>
      <c r="D77" s="126" t="str">
        <f t="shared" ref="D77:D83" si="7" xml:space="preserve"> IF(C77="","",setValueToTime(C77))</f>
        <v xml:space="preserve"> 45 min</v>
      </c>
      <c r="E77" s="46" t="s">
        <v>78</v>
      </c>
      <c r="F77" s="177"/>
      <c r="G77" s="178"/>
      <c r="H77" s="152"/>
    </row>
    <row r="78" spans="2:8" s="43" customFormat="1" x14ac:dyDescent="0.3">
      <c r="B78" s="44" t="s">
        <v>60</v>
      </c>
      <c r="C78" s="45">
        <v>6</v>
      </c>
      <c r="D78" s="126" t="str">
        <f t="shared" si="7"/>
        <v xml:space="preserve"> 30 min</v>
      </c>
      <c r="E78" s="46"/>
      <c r="F78" s="177"/>
      <c r="G78" s="178"/>
      <c r="H78" s="152"/>
    </row>
    <row r="79" spans="2:8" s="43" customFormat="1" x14ac:dyDescent="0.3">
      <c r="B79" s="44" t="s">
        <v>30</v>
      </c>
      <c r="C79" s="45">
        <v>15</v>
      </c>
      <c r="D79" s="126" t="str">
        <f t="shared" si="7"/>
        <v>1h 15 min</v>
      </c>
      <c r="E79" s="46"/>
      <c r="F79" s="177"/>
      <c r="G79" s="178"/>
      <c r="H79" s="152"/>
    </row>
    <row r="80" spans="2:8" s="43" customFormat="1" x14ac:dyDescent="0.3">
      <c r="B80" s="44"/>
      <c r="C80" s="45"/>
      <c r="D80" s="127" t="str">
        <f t="shared" si="7"/>
        <v/>
      </c>
      <c r="E80" s="46"/>
      <c r="F80" s="177"/>
      <c r="G80" s="178"/>
      <c r="H80" s="152"/>
    </row>
    <row r="81" spans="2:8" s="43" customFormat="1" x14ac:dyDescent="0.3">
      <c r="B81" s="44"/>
      <c r="C81" s="45"/>
      <c r="D81" s="127" t="str">
        <f t="shared" si="7"/>
        <v/>
      </c>
      <c r="E81" s="46"/>
      <c r="F81" s="177"/>
      <c r="G81" s="178"/>
      <c r="H81" s="152"/>
    </row>
    <row r="82" spans="2:8" s="43" customFormat="1" x14ac:dyDescent="0.3">
      <c r="B82" s="44"/>
      <c r="C82" s="45"/>
      <c r="D82" s="127" t="str">
        <f t="shared" si="7"/>
        <v/>
      </c>
      <c r="E82" s="46"/>
      <c r="F82" s="177"/>
      <c r="G82" s="178"/>
      <c r="H82" s="152"/>
    </row>
    <row r="83" spans="2:8" s="43" customFormat="1" ht="15" thickBot="1" x14ac:dyDescent="0.35">
      <c r="B83" s="44"/>
      <c r="C83" s="47"/>
      <c r="D83" s="128" t="str">
        <f t="shared" si="7"/>
        <v/>
      </c>
      <c r="E83" s="48"/>
      <c r="F83" s="181"/>
      <c r="G83" s="182"/>
      <c r="H83" s="152"/>
    </row>
    <row r="84" spans="2:8" s="43" customFormat="1" ht="15" thickBot="1" x14ac:dyDescent="0.35">
      <c r="B84" s="86" t="s">
        <v>40</v>
      </c>
      <c r="C84" s="67">
        <f>SUM(C76:C83)</f>
        <v>48</v>
      </c>
      <c r="D84" s="86" t="str">
        <f xml:space="preserve"> setValueToTime(C84)</f>
        <v>4h</v>
      </c>
      <c r="E84" s="95"/>
      <c r="F84" s="224"/>
      <c r="G84" s="225"/>
      <c r="H84" s="152"/>
    </row>
    <row r="85" spans="2:8" s="43" customFormat="1" ht="15" thickBot="1" x14ac:dyDescent="0.35">
      <c r="B85" s="62"/>
      <c r="C85" s="62"/>
      <c r="D85" s="62"/>
      <c r="E85" s="62"/>
      <c r="F85" s="62"/>
      <c r="G85" s="62"/>
      <c r="H85" s="152"/>
    </row>
    <row r="86" spans="2:8" s="39" customFormat="1" ht="30" customHeight="1" thickBot="1" x14ac:dyDescent="0.3">
      <c r="B86" s="64" t="s">
        <v>33</v>
      </c>
      <c r="C86" s="136">
        <v>20</v>
      </c>
      <c r="D86" s="136"/>
      <c r="E86" s="65" t="s">
        <v>34</v>
      </c>
      <c r="F86" s="77">
        <v>46164</v>
      </c>
      <c r="G86" s="101" t="s">
        <v>76</v>
      </c>
      <c r="H86" s="151"/>
    </row>
    <row r="87" spans="2:8" s="39" customFormat="1" ht="30" customHeight="1" thickBot="1" x14ac:dyDescent="0.3">
      <c r="B87" s="63" t="s">
        <v>35</v>
      </c>
      <c r="C87" s="123" t="s">
        <v>36</v>
      </c>
      <c r="D87" s="124"/>
      <c r="E87" s="63" t="s">
        <v>37</v>
      </c>
      <c r="F87" s="222" t="s">
        <v>38</v>
      </c>
      <c r="G87" s="223"/>
      <c r="H87" s="151"/>
    </row>
    <row r="88" spans="2:8" s="43" customFormat="1" ht="27" x14ac:dyDescent="0.3">
      <c r="B88" s="40" t="s">
        <v>56</v>
      </c>
      <c r="C88" s="41">
        <v>4</v>
      </c>
      <c r="D88" s="125" t="str">
        <f xml:space="preserve"> IF(C88="","",setValueToTime(C88))</f>
        <v xml:space="preserve"> 20 min</v>
      </c>
      <c r="E88" s="42"/>
      <c r="F88" s="175"/>
      <c r="G88" s="176"/>
      <c r="H88" s="152"/>
    </row>
    <row r="89" spans="2:8" s="43" customFormat="1" x14ac:dyDescent="0.3">
      <c r="B89" s="44" t="s">
        <v>55</v>
      </c>
      <c r="C89" s="45">
        <v>16</v>
      </c>
      <c r="D89" s="126" t="str">
        <f t="shared" ref="D89:D95" si="8" xml:space="preserve"> IF(C89="","",setValueToTime(C89))</f>
        <v>1h 20 min</v>
      </c>
      <c r="E89" s="46"/>
      <c r="F89" s="177"/>
      <c r="G89" s="178"/>
      <c r="H89" s="152"/>
    </row>
    <row r="90" spans="2:8" s="43" customFormat="1" ht="40.5" x14ac:dyDescent="0.3">
      <c r="B90" s="44" t="s">
        <v>58</v>
      </c>
      <c r="C90" s="45">
        <v>14</v>
      </c>
      <c r="D90" s="126" t="str">
        <f t="shared" si="8"/>
        <v>1h 10 min</v>
      </c>
      <c r="E90" s="46"/>
      <c r="F90" s="177"/>
      <c r="G90" s="178"/>
      <c r="H90" s="152"/>
    </row>
    <row r="91" spans="2:8" s="43" customFormat="1" x14ac:dyDescent="0.3">
      <c r="B91" s="44" t="s">
        <v>29</v>
      </c>
      <c r="C91" s="45">
        <v>4</v>
      </c>
      <c r="D91" s="126" t="str">
        <f t="shared" si="8"/>
        <v xml:space="preserve"> 20 min</v>
      </c>
      <c r="E91" s="46"/>
      <c r="F91" s="177"/>
      <c r="G91" s="178"/>
      <c r="H91" s="152"/>
    </row>
    <row r="92" spans="2:8" s="43" customFormat="1" x14ac:dyDescent="0.3">
      <c r="B92" s="44"/>
      <c r="C92" s="45"/>
      <c r="D92" s="127" t="str">
        <f t="shared" si="8"/>
        <v/>
      </c>
      <c r="E92" s="46"/>
      <c r="F92" s="177"/>
      <c r="G92" s="178"/>
      <c r="H92" s="152"/>
    </row>
    <row r="93" spans="2:8" s="43" customFormat="1" x14ac:dyDescent="0.3">
      <c r="B93" s="44"/>
      <c r="C93" s="45"/>
      <c r="D93" s="127" t="str">
        <f t="shared" si="8"/>
        <v/>
      </c>
      <c r="E93" s="46"/>
      <c r="F93" s="177"/>
      <c r="G93" s="178"/>
      <c r="H93" s="152"/>
    </row>
    <row r="94" spans="2:8" s="43" customFormat="1" x14ac:dyDescent="0.3">
      <c r="B94" s="44"/>
      <c r="C94" s="45"/>
      <c r="D94" s="127" t="str">
        <f t="shared" si="8"/>
        <v/>
      </c>
      <c r="E94" s="46"/>
      <c r="F94" s="177"/>
      <c r="G94" s="178"/>
      <c r="H94" s="152"/>
    </row>
    <row r="95" spans="2:8" s="43" customFormat="1" ht="15" thickBot="1" x14ac:dyDescent="0.35">
      <c r="B95" s="44"/>
      <c r="C95" s="47"/>
      <c r="D95" s="128" t="str">
        <f t="shared" si="8"/>
        <v/>
      </c>
      <c r="E95" s="48"/>
      <c r="F95" s="181"/>
      <c r="G95" s="182"/>
      <c r="H95" s="152"/>
    </row>
    <row r="96" spans="2:8" s="43" customFormat="1" ht="15" thickBot="1" x14ac:dyDescent="0.35">
      <c r="B96" s="86" t="s">
        <v>40</v>
      </c>
      <c r="C96" s="67">
        <f>SUM(C88:C95)</f>
        <v>38</v>
      </c>
      <c r="D96" s="86" t="str">
        <f xml:space="preserve"> setValueToTime(C96)</f>
        <v>3h 10 min</v>
      </c>
      <c r="E96" s="95"/>
      <c r="F96" s="224"/>
      <c r="G96" s="225"/>
      <c r="H96" s="152"/>
    </row>
    <row r="97" spans="2:8" s="43" customFormat="1" ht="15" thickBot="1" x14ac:dyDescent="0.35">
      <c r="B97" s="62"/>
      <c r="C97" s="62"/>
      <c r="D97" s="62"/>
      <c r="E97" s="62"/>
      <c r="F97" s="62"/>
      <c r="G97" s="62"/>
      <c r="H97" s="152"/>
    </row>
    <row r="98" spans="2:8" s="39" customFormat="1" ht="30" customHeight="1" thickBot="1" x14ac:dyDescent="0.3">
      <c r="B98" s="64" t="s">
        <v>33</v>
      </c>
      <c r="C98" s="136">
        <v>19</v>
      </c>
      <c r="D98" s="136"/>
      <c r="E98" s="65" t="s">
        <v>34</v>
      </c>
      <c r="F98" s="77">
        <v>46164</v>
      </c>
      <c r="G98" s="101" t="s">
        <v>77</v>
      </c>
      <c r="H98" s="151"/>
    </row>
    <row r="99" spans="2:8" s="39" customFormat="1" ht="30" customHeight="1" thickBot="1" x14ac:dyDescent="0.3">
      <c r="B99" s="63" t="s">
        <v>35</v>
      </c>
      <c r="C99" s="123" t="s">
        <v>36</v>
      </c>
      <c r="D99" s="124"/>
      <c r="E99" s="63" t="s">
        <v>37</v>
      </c>
      <c r="F99" s="222" t="s">
        <v>38</v>
      </c>
      <c r="G99" s="223"/>
      <c r="H99" s="151"/>
    </row>
    <row r="100" spans="2:8" s="43" customFormat="1" x14ac:dyDescent="0.3">
      <c r="B100" s="40" t="s">
        <v>30</v>
      </c>
      <c r="C100" s="41">
        <v>25</v>
      </c>
      <c r="D100" s="125" t="str">
        <f xml:space="preserve"> IF(C100="","",setValueToTime(C100))</f>
        <v>2h 5 min</v>
      </c>
      <c r="E100" s="42"/>
      <c r="F100" s="175"/>
      <c r="G100" s="176"/>
      <c r="H100" s="152"/>
    </row>
    <row r="101" spans="2:8" s="43" customFormat="1" ht="27" x14ac:dyDescent="0.3">
      <c r="B101" s="44" t="s">
        <v>57</v>
      </c>
      <c r="C101" s="45">
        <v>15</v>
      </c>
      <c r="D101" s="126" t="str">
        <f t="shared" ref="D101:D107" si="9" xml:space="preserve"> IF(C101="","",setValueToTime(C101))</f>
        <v>1h 15 min</v>
      </c>
      <c r="E101" s="46"/>
      <c r="F101" s="177"/>
      <c r="G101" s="178"/>
      <c r="H101" s="152"/>
    </row>
    <row r="102" spans="2:8" s="43" customFormat="1" ht="27" x14ac:dyDescent="0.3">
      <c r="B102" s="44" t="s">
        <v>56</v>
      </c>
      <c r="C102" s="45">
        <v>8</v>
      </c>
      <c r="D102" s="126" t="str">
        <f t="shared" si="9"/>
        <v xml:space="preserve"> 40 min</v>
      </c>
      <c r="E102" s="46"/>
      <c r="F102" s="177"/>
      <c r="G102" s="178"/>
      <c r="H102" s="152"/>
    </row>
    <row r="103" spans="2:8" s="43" customFormat="1" x14ac:dyDescent="0.3">
      <c r="B103" s="44"/>
      <c r="C103" s="45"/>
      <c r="D103" s="126" t="str">
        <f t="shared" si="9"/>
        <v/>
      </c>
      <c r="E103" s="46"/>
      <c r="F103" s="177"/>
      <c r="G103" s="178"/>
      <c r="H103" s="152"/>
    </row>
    <row r="104" spans="2:8" s="43" customFormat="1" x14ac:dyDescent="0.3">
      <c r="B104" s="44"/>
      <c r="C104" s="45"/>
      <c r="D104" s="127" t="str">
        <f t="shared" si="9"/>
        <v/>
      </c>
      <c r="E104" s="46"/>
      <c r="F104" s="177"/>
      <c r="G104" s="178"/>
      <c r="H104" s="152"/>
    </row>
    <row r="105" spans="2:8" s="43" customFormat="1" x14ac:dyDescent="0.3">
      <c r="B105" s="44"/>
      <c r="C105" s="45"/>
      <c r="D105" s="127" t="str">
        <f t="shared" si="9"/>
        <v/>
      </c>
      <c r="E105" s="46"/>
      <c r="F105" s="177"/>
      <c r="G105" s="178"/>
      <c r="H105" s="152"/>
    </row>
    <row r="106" spans="2:8" s="43" customFormat="1" x14ac:dyDescent="0.3">
      <c r="B106" s="44"/>
      <c r="C106" s="45"/>
      <c r="D106" s="127" t="str">
        <f t="shared" si="9"/>
        <v/>
      </c>
      <c r="E106" s="46"/>
      <c r="F106" s="177"/>
      <c r="G106" s="178"/>
      <c r="H106" s="152"/>
    </row>
    <row r="107" spans="2:8" s="43" customFormat="1" ht="15" thickBot="1" x14ac:dyDescent="0.35">
      <c r="B107" s="44"/>
      <c r="C107" s="47"/>
      <c r="D107" s="128" t="str">
        <f t="shared" si="9"/>
        <v/>
      </c>
      <c r="E107" s="48"/>
      <c r="F107" s="181"/>
      <c r="G107" s="182"/>
      <c r="H107" s="152"/>
    </row>
    <row r="108" spans="2:8" s="43" customFormat="1" ht="15" thickBot="1" x14ac:dyDescent="0.35">
      <c r="B108" s="86" t="s">
        <v>40</v>
      </c>
      <c r="C108" s="67">
        <f>SUM(C100:C107)</f>
        <v>48</v>
      </c>
      <c r="D108" s="86" t="str">
        <f xml:space="preserve"> setValueToTime(C108)</f>
        <v>4h</v>
      </c>
      <c r="E108" s="95"/>
      <c r="F108" s="224"/>
      <c r="G108" s="225"/>
      <c r="H108" s="152"/>
    </row>
    <row r="109" spans="2:8" s="43" customFormat="1" ht="15" thickBot="1" x14ac:dyDescent="0.35">
      <c r="B109" s="62"/>
      <c r="C109" s="62"/>
      <c r="D109" s="62"/>
      <c r="E109" s="62"/>
      <c r="F109" s="62"/>
      <c r="G109" s="62"/>
      <c r="H109" s="152"/>
    </row>
    <row r="110" spans="2:8" s="39" customFormat="1" ht="30" customHeight="1" thickBot="1" x14ac:dyDescent="0.3">
      <c r="B110" s="64" t="s">
        <v>33</v>
      </c>
      <c r="C110" s="136">
        <v>18</v>
      </c>
      <c r="D110" s="136"/>
      <c r="E110" s="65" t="s">
        <v>34</v>
      </c>
      <c r="F110" s="77">
        <v>46163</v>
      </c>
      <c r="G110" s="101" t="s">
        <v>76</v>
      </c>
      <c r="H110" s="151"/>
    </row>
    <row r="111" spans="2:8" s="39" customFormat="1" ht="30" customHeight="1" thickBot="1" x14ac:dyDescent="0.3">
      <c r="B111" s="63" t="s">
        <v>35</v>
      </c>
      <c r="C111" s="123" t="s">
        <v>36</v>
      </c>
      <c r="D111" s="124"/>
      <c r="E111" s="63" t="s">
        <v>37</v>
      </c>
      <c r="F111" s="222" t="s">
        <v>38</v>
      </c>
      <c r="G111" s="223"/>
      <c r="H111" s="151"/>
    </row>
    <row r="112" spans="2:8" s="43" customFormat="1" x14ac:dyDescent="0.3">
      <c r="B112" s="40" t="s">
        <v>72</v>
      </c>
      <c r="C112" s="41">
        <v>34</v>
      </c>
      <c r="D112" s="125" t="str">
        <f xml:space="preserve"> IF(C112="","",setValueToTime(C112))</f>
        <v>2h 50 min</v>
      </c>
      <c r="E112" s="42"/>
      <c r="F112" s="175"/>
      <c r="G112" s="176"/>
      <c r="H112" s="152"/>
    </row>
    <row r="113" spans="2:8" s="43" customFormat="1" x14ac:dyDescent="0.3">
      <c r="B113" s="44" t="s">
        <v>29</v>
      </c>
      <c r="C113" s="45">
        <v>4</v>
      </c>
      <c r="D113" s="126" t="str">
        <f t="shared" ref="D113:D119" si="10" xml:space="preserve"> IF(C113="","",setValueToTime(C113))</f>
        <v xml:space="preserve"> 20 min</v>
      </c>
      <c r="E113" s="46"/>
      <c r="F113" s="177"/>
      <c r="G113" s="178"/>
      <c r="H113" s="152"/>
    </row>
    <row r="114" spans="2:8" s="43" customFormat="1" x14ac:dyDescent="0.3">
      <c r="B114" s="44"/>
      <c r="C114" s="45"/>
      <c r="D114" s="126" t="str">
        <f t="shared" si="10"/>
        <v/>
      </c>
      <c r="E114" s="46"/>
      <c r="F114" s="177"/>
      <c r="G114" s="178"/>
      <c r="H114" s="152"/>
    </row>
    <row r="115" spans="2:8" s="43" customFormat="1" x14ac:dyDescent="0.3">
      <c r="B115" s="44"/>
      <c r="C115" s="45"/>
      <c r="D115" s="126" t="str">
        <f t="shared" si="10"/>
        <v/>
      </c>
      <c r="E115" s="46"/>
      <c r="F115" s="177"/>
      <c r="G115" s="178"/>
      <c r="H115" s="152"/>
    </row>
    <row r="116" spans="2:8" s="43" customFormat="1" x14ac:dyDescent="0.3">
      <c r="B116" s="44"/>
      <c r="C116" s="45"/>
      <c r="D116" s="127" t="str">
        <f t="shared" si="10"/>
        <v/>
      </c>
      <c r="E116" s="46"/>
      <c r="F116" s="177"/>
      <c r="G116" s="178"/>
      <c r="H116" s="152"/>
    </row>
    <row r="117" spans="2:8" s="43" customFormat="1" x14ac:dyDescent="0.3">
      <c r="B117" s="44"/>
      <c r="C117" s="45"/>
      <c r="D117" s="127" t="str">
        <f t="shared" si="10"/>
        <v/>
      </c>
      <c r="E117" s="46"/>
      <c r="F117" s="177"/>
      <c r="G117" s="178"/>
      <c r="H117" s="152"/>
    </row>
    <row r="118" spans="2:8" s="43" customFormat="1" x14ac:dyDescent="0.3">
      <c r="B118" s="44"/>
      <c r="C118" s="45"/>
      <c r="D118" s="127" t="str">
        <f t="shared" si="10"/>
        <v/>
      </c>
      <c r="E118" s="46"/>
      <c r="F118" s="177"/>
      <c r="G118" s="178"/>
      <c r="H118" s="152"/>
    </row>
    <row r="119" spans="2:8" s="43" customFormat="1" ht="15" thickBot="1" x14ac:dyDescent="0.35">
      <c r="B119" s="44"/>
      <c r="C119" s="47"/>
      <c r="D119" s="128" t="str">
        <f t="shared" si="10"/>
        <v/>
      </c>
      <c r="E119" s="48"/>
      <c r="F119" s="181"/>
      <c r="G119" s="182"/>
      <c r="H119" s="152"/>
    </row>
    <row r="120" spans="2:8" s="43" customFormat="1" ht="15" thickBot="1" x14ac:dyDescent="0.35">
      <c r="B120" s="86" t="s">
        <v>40</v>
      </c>
      <c r="C120" s="67">
        <f>SUM(C112:C119)</f>
        <v>38</v>
      </c>
      <c r="D120" s="86" t="str">
        <f xml:space="preserve"> setValueToTime(C120)</f>
        <v>3h 10 min</v>
      </c>
      <c r="E120" s="95"/>
      <c r="F120" s="224"/>
      <c r="G120" s="225"/>
      <c r="H120" s="152"/>
    </row>
    <row r="121" spans="2:8" s="43" customFormat="1" ht="15" thickBot="1" x14ac:dyDescent="0.35">
      <c r="B121" s="62"/>
      <c r="C121" s="62"/>
      <c r="D121" s="62"/>
      <c r="E121" s="62"/>
      <c r="F121" s="62"/>
      <c r="G121" s="62"/>
      <c r="H121" s="152"/>
    </row>
    <row r="122" spans="2:8" s="39" customFormat="1" ht="30" customHeight="1" thickBot="1" x14ac:dyDescent="0.3">
      <c r="B122" s="64" t="s">
        <v>33</v>
      </c>
      <c r="C122" s="136">
        <v>17</v>
      </c>
      <c r="D122" s="136"/>
      <c r="E122" s="65" t="s">
        <v>34</v>
      </c>
      <c r="F122" s="77">
        <v>46163</v>
      </c>
      <c r="G122" s="101" t="s">
        <v>77</v>
      </c>
      <c r="H122" s="151"/>
    </row>
    <row r="123" spans="2:8" s="39" customFormat="1" ht="30" customHeight="1" thickBot="1" x14ac:dyDescent="0.3">
      <c r="B123" s="63" t="s">
        <v>35</v>
      </c>
      <c r="C123" s="123" t="s">
        <v>36</v>
      </c>
      <c r="D123" s="124"/>
      <c r="E123" s="63" t="s">
        <v>37</v>
      </c>
      <c r="F123" s="222" t="s">
        <v>38</v>
      </c>
      <c r="G123" s="223"/>
      <c r="H123" s="151"/>
    </row>
    <row r="124" spans="2:8" s="43" customFormat="1" x14ac:dyDescent="0.3">
      <c r="B124" s="40" t="s">
        <v>64</v>
      </c>
      <c r="C124" s="41">
        <v>5</v>
      </c>
      <c r="D124" s="125" t="str">
        <f xml:space="preserve"> IF(C124="","",setValueToTime(C124))</f>
        <v xml:space="preserve"> 25 min</v>
      </c>
      <c r="E124" s="42"/>
      <c r="F124" s="175"/>
      <c r="G124" s="176"/>
      <c r="H124" s="152"/>
    </row>
    <row r="125" spans="2:8" s="43" customFormat="1" x14ac:dyDescent="0.3">
      <c r="B125" s="44" t="s">
        <v>30</v>
      </c>
      <c r="C125" s="45">
        <v>30</v>
      </c>
      <c r="D125" s="126" t="str">
        <f t="shared" ref="D125:D131" si="11" xml:space="preserve"> IF(C125="","",setValueToTime(C125))</f>
        <v>2h 30 min</v>
      </c>
      <c r="E125" s="46"/>
      <c r="F125" s="177"/>
      <c r="G125" s="178"/>
      <c r="H125" s="152"/>
    </row>
    <row r="126" spans="2:8" s="43" customFormat="1" x14ac:dyDescent="0.3">
      <c r="B126" s="44" t="s">
        <v>72</v>
      </c>
      <c r="C126" s="45">
        <v>13</v>
      </c>
      <c r="D126" s="126" t="str">
        <f t="shared" si="11"/>
        <v>1h 5 min</v>
      </c>
      <c r="E126" s="46"/>
      <c r="F126" s="177"/>
      <c r="G126" s="178"/>
      <c r="H126" s="152"/>
    </row>
    <row r="127" spans="2:8" s="43" customFormat="1" x14ac:dyDescent="0.3">
      <c r="B127" s="44"/>
      <c r="C127" s="45"/>
      <c r="D127" s="126" t="str">
        <f t="shared" si="11"/>
        <v/>
      </c>
      <c r="E127" s="46"/>
      <c r="F127" s="177"/>
      <c r="G127" s="178"/>
      <c r="H127" s="152"/>
    </row>
    <row r="128" spans="2:8" s="43" customFormat="1" x14ac:dyDescent="0.3">
      <c r="B128" s="44"/>
      <c r="C128" s="45"/>
      <c r="D128" s="127" t="str">
        <f t="shared" si="11"/>
        <v/>
      </c>
      <c r="E128" s="46"/>
      <c r="F128" s="177"/>
      <c r="G128" s="178"/>
      <c r="H128" s="152"/>
    </row>
    <row r="129" spans="2:8" s="43" customFormat="1" x14ac:dyDescent="0.3">
      <c r="B129" s="44"/>
      <c r="C129" s="45"/>
      <c r="D129" s="127" t="str">
        <f t="shared" si="11"/>
        <v/>
      </c>
      <c r="E129" s="46"/>
      <c r="F129" s="177"/>
      <c r="G129" s="178"/>
      <c r="H129" s="152"/>
    </row>
    <row r="130" spans="2:8" s="43" customFormat="1" x14ac:dyDescent="0.3">
      <c r="B130" s="44"/>
      <c r="C130" s="45"/>
      <c r="D130" s="127" t="str">
        <f t="shared" si="11"/>
        <v/>
      </c>
      <c r="E130" s="46"/>
      <c r="F130" s="177"/>
      <c r="G130" s="178"/>
      <c r="H130" s="152"/>
    </row>
    <row r="131" spans="2:8" s="43" customFormat="1" ht="15" thickBot="1" x14ac:dyDescent="0.35">
      <c r="B131" s="44"/>
      <c r="C131" s="47"/>
      <c r="D131" s="128" t="str">
        <f t="shared" si="11"/>
        <v/>
      </c>
      <c r="E131" s="48"/>
      <c r="F131" s="181"/>
      <c r="G131" s="182"/>
      <c r="H131" s="152"/>
    </row>
    <row r="132" spans="2:8" s="43" customFormat="1" ht="15" thickBot="1" x14ac:dyDescent="0.35">
      <c r="B132" s="86" t="s">
        <v>40</v>
      </c>
      <c r="C132" s="67">
        <f>SUM(C124:C131)</f>
        <v>48</v>
      </c>
      <c r="D132" s="86" t="str">
        <f xml:space="preserve"> setValueToTime(C132)</f>
        <v>4h</v>
      </c>
      <c r="E132" s="95"/>
      <c r="F132" s="224"/>
      <c r="G132" s="225"/>
      <c r="H132" s="152"/>
    </row>
    <row r="133" spans="2:8" s="43" customFormat="1" ht="15" thickBot="1" x14ac:dyDescent="0.35">
      <c r="B133" s="62"/>
      <c r="C133" s="62"/>
      <c r="D133" s="62"/>
      <c r="E133" s="62"/>
      <c r="F133" s="62"/>
      <c r="G133" s="62"/>
      <c r="H133" s="152"/>
    </row>
    <row r="134" spans="2:8" s="39" customFormat="1" ht="30" customHeight="1" thickBot="1" x14ac:dyDescent="0.3">
      <c r="B134" s="64" t="s">
        <v>33</v>
      </c>
      <c r="C134" s="136">
        <v>16</v>
      </c>
      <c r="D134" s="136"/>
      <c r="E134" s="65" t="s">
        <v>34</v>
      </c>
      <c r="F134" s="77">
        <v>46162</v>
      </c>
      <c r="G134" s="101" t="s">
        <v>76</v>
      </c>
      <c r="H134" s="151"/>
    </row>
    <row r="135" spans="2:8" s="39" customFormat="1" ht="30" customHeight="1" thickBot="1" x14ac:dyDescent="0.3">
      <c r="B135" s="63" t="s">
        <v>35</v>
      </c>
      <c r="C135" s="123" t="s">
        <v>36</v>
      </c>
      <c r="D135" s="124"/>
      <c r="E135" s="63" t="s">
        <v>37</v>
      </c>
      <c r="F135" s="222" t="s">
        <v>38</v>
      </c>
      <c r="G135" s="223"/>
      <c r="H135" s="151"/>
    </row>
    <row r="136" spans="2:8" s="43" customFormat="1" ht="27" x14ac:dyDescent="0.3">
      <c r="B136" s="40" t="s">
        <v>66</v>
      </c>
      <c r="C136" s="41">
        <v>17</v>
      </c>
      <c r="D136" s="125" t="str">
        <f xml:space="preserve"> IF(C136="","",setValueToTime(C136))</f>
        <v>1h 25 min</v>
      </c>
      <c r="E136" s="42"/>
      <c r="F136" s="175"/>
      <c r="G136" s="176"/>
      <c r="H136" s="152"/>
    </row>
    <row r="137" spans="2:8" s="43" customFormat="1" x14ac:dyDescent="0.3">
      <c r="B137" s="44" t="s">
        <v>64</v>
      </c>
      <c r="C137" s="45">
        <v>17</v>
      </c>
      <c r="D137" s="126" t="str">
        <f t="shared" ref="D137:D143" si="12" xml:space="preserve"> IF(C137="","",setValueToTime(C137))</f>
        <v>1h 25 min</v>
      </c>
      <c r="E137" s="46"/>
      <c r="F137" s="177"/>
      <c r="G137" s="178"/>
      <c r="H137" s="152"/>
    </row>
    <row r="138" spans="2:8" s="43" customFormat="1" x14ac:dyDescent="0.3">
      <c r="B138" s="44" t="s">
        <v>29</v>
      </c>
      <c r="C138" s="45">
        <v>4</v>
      </c>
      <c r="D138" s="126" t="str">
        <f t="shared" si="12"/>
        <v xml:space="preserve"> 20 min</v>
      </c>
      <c r="E138" s="46"/>
      <c r="F138" s="177"/>
      <c r="G138" s="178"/>
      <c r="H138" s="152"/>
    </row>
    <row r="139" spans="2:8" s="43" customFormat="1" x14ac:dyDescent="0.3">
      <c r="B139" s="44"/>
      <c r="C139" s="45"/>
      <c r="D139" s="126" t="str">
        <f t="shared" si="12"/>
        <v/>
      </c>
      <c r="E139" s="46"/>
      <c r="F139" s="177"/>
      <c r="G139" s="178"/>
      <c r="H139" s="152"/>
    </row>
    <row r="140" spans="2:8" s="43" customFormat="1" x14ac:dyDescent="0.3">
      <c r="B140" s="44"/>
      <c r="C140" s="45"/>
      <c r="D140" s="127" t="str">
        <f t="shared" si="12"/>
        <v/>
      </c>
      <c r="E140" s="46"/>
      <c r="F140" s="177"/>
      <c r="G140" s="178"/>
      <c r="H140" s="152"/>
    </row>
    <row r="141" spans="2:8" s="43" customFormat="1" x14ac:dyDescent="0.3">
      <c r="B141" s="44"/>
      <c r="C141" s="45"/>
      <c r="D141" s="127" t="str">
        <f t="shared" si="12"/>
        <v/>
      </c>
      <c r="E141" s="46"/>
      <c r="F141" s="177"/>
      <c r="G141" s="178"/>
      <c r="H141" s="152"/>
    </row>
    <row r="142" spans="2:8" s="43" customFormat="1" x14ac:dyDescent="0.3">
      <c r="B142" s="44"/>
      <c r="C142" s="45"/>
      <c r="D142" s="127" t="str">
        <f t="shared" si="12"/>
        <v/>
      </c>
      <c r="E142" s="46"/>
      <c r="F142" s="177"/>
      <c r="G142" s="178"/>
      <c r="H142" s="152"/>
    </row>
    <row r="143" spans="2:8" s="43" customFormat="1" ht="15" thickBot="1" x14ac:dyDescent="0.35">
      <c r="B143" s="44"/>
      <c r="C143" s="47"/>
      <c r="D143" s="128" t="str">
        <f t="shared" si="12"/>
        <v/>
      </c>
      <c r="E143" s="48"/>
      <c r="F143" s="181"/>
      <c r="G143" s="182"/>
      <c r="H143" s="152"/>
    </row>
    <row r="144" spans="2:8" s="43" customFormat="1" ht="15" thickBot="1" x14ac:dyDescent="0.35">
      <c r="B144" s="86" t="s">
        <v>40</v>
      </c>
      <c r="C144" s="67">
        <f>SUM(C136:C143)</f>
        <v>38</v>
      </c>
      <c r="D144" s="86" t="str">
        <f xml:space="preserve"> setValueToTime(C144)</f>
        <v>3h 10 min</v>
      </c>
      <c r="E144" s="95"/>
      <c r="F144" s="224"/>
      <c r="G144" s="225"/>
      <c r="H144" s="152"/>
    </row>
    <row r="145" spans="2:8" s="43" customFormat="1" ht="15" thickBot="1" x14ac:dyDescent="0.35">
      <c r="B145" s="62"/>
      <c r="C145" s="62"/>
      <c r="D145" s="62"/>
      <c r="E145" s="62"/>
      <c r="F145" s="62"/>
      <c r="G145" s="62"/>
      <c r="H145" s="152"/>
    </row>
    <row r="146" spans="2:8" s="39" customFormat="1" ht="30" customHeight="1" thickBot="1" x14ac:dyDescent="0.3">
      <c r="B146" s="64" t="s">
        <v>33</v>
      </c>
      <c r="C146" s="136">
        <v>15</v>
      </c>
      <c r="D146" s="136"/>
      <c r="E146" s="65" t="s">
        <v>34</v>
      </c>
      <c r="F146" s="77">
        <v>46162</v>
      </c>
      <c r="G146" s="101" t="s">
        <v>77</v>
      </c>
      <c r="H146" s="151"/>
    </row>
    <row r="147" spans="2:8" s="39" customFormat="1" ht="30" customHeight="1" thickBot="1" x14ac:dyDescent="0.3">
      <c r="B147" s="63" t="s">
        <v>35</v>
      </c>
      <c r="C147" s="123" t="s">
        <v>36</v>
      </c>
      <c r="D147" s="124"/>
      <c r="E147" s="63" t="s">
        <v>37</v>
      </c>
      <c r="F147" s="222" t="s">
        <v>38</v>
      </c>
      <c r="G147" s="223"/>
      <c r="H147" s="151"/>
    </row>
    <row r="148" spans="2:8" s="43" customFormat="1" ht="27" x14ac:dyDescent="0.3">
      <c r="B148" s="40" t="s">
        <v>67</v>
      </c>
      <c r="C148" s="41">
        <v>33</v>
      </c>
      <c r="D148" s="125" t="str">
        <f xml:space="preserve"> IF(C148="","",setValueToTime(C148))</f>
        <v>2h 45 min</v>
      </c>
      <c r="E148" s="42"/>
      <c r="F148" s="175"/>
      <c r="G148" s="176"/>
      <c r="H148" s="152"/>
    </row>
    <row r="149" spans="2:8" s="43" customFormat="1" ht="27" x14ac:dyDescent="0.3">
      <c r="B149" s="44" t="s">
        <v>66</v>
      </c>
      <c r="C149" s="45">
        <v>15</v>
      </c>
      <c r="D149" s="126" t="str">
        <f t="shared" ref="D149:D155" si="13" xml:space="preserve"> IF(C149="","",setValueToTime(C149))</f>
        <v>1h 15 min</v>
      </c>
      <c r="E149" s="46"/>
      <c r="F149" s="177"/>
      <c r="G149" s="178"/>
      <c r="H149" s="152"/>
    </row>
    <row r="150" spans="2:8" s="43" customFormat="1" x14ac:dyDescent="0.3">
      <c r="B150" s="44"/>
      <c r="C150" s="45"/>
      <c r="D150" s="126" t="str">
        <f t="shared" si="13"/>
        <v/>
      </c>
      <c r="E150" s="46"/>
      <c r="F150" s="177"/>
      <c r="G150" s="178"/>
      <c r="H150" s="152"/>
    </row>
    <row r="151" spans="2:8" s="43" customFormat="1" x14ac:dyDescent="0.3">
      <c r="B151" s="44"/>
      <c r="C151" s="45"/>
      <c r="D151" s="126" t="str">
        <f t="shared" si="13"/>
        <v/>
      </c>
      <c r="E151" s="46"/>
      <c r="F151" s="177"/>
      <c r="G151" s="178"/>
      <c r="H151" s="152"/>
    </row>
    <row r="152" spans="2:8" s="43" customFormat="1" x14ac:dyDescent="0.3">
      <c r="B152" s="44"/>
      <c r="C152" s="45"/>
      <c r="D152" s="127" t="str">
        <f t="shared" si="13"/>
        <v/>
      </c>
      <c r="E152" s="46"/>
      <c r="F152" s="177"/>
      <c r="G152" s="178"/>
      <c r="H152" s="152"/>
    </row>
    <row r="153" spans="2:8" s="43" customFormat="1" x14ac:dyDescent="0.3">
      <c r="B153" s="44"/>
      <c r="C153" s="45"/>
      <c r="D153" s="127" t="str">
        <f t="shared" si="13"/>
        <v/>
      </c>
      <c r="E153" s="46"/>
      <c r="F153" s="177"/>
      <c r="G153" s="178"/>
      <c r="H153" s="152"/>
    </row>
    <row r="154" spans="2:8" s="43" customFormat="1" x14ac:dyDescent="0.3">
      <c r="B154" s="44"/>
      <c r="C154" s="45"/>
      <c r="D154" s="127" t="str">
        <f t="shared" si="13"/>
        <v/>
      </c>
      <c r="E154" s="46"/>
      <c r="F154" s="177"/>
      <c r="G154" s="178"/>
      <c r="H154" s="152"/>
    </row>
    <row r="155" spans="2:8" s="43" customFormat="1" ht="15" thickBot="1" x14ac:dyDescent="0.35">
      <c r="B155" s="44"/>
      <c r="C155" s="47"/>
      <c r="D155" s="128" t="str">
        <f t="shared" si="13"/>
        <v/>
      </c>
      <c r="E155" s="48"/>
      <c r="F155" s="181"/>
      <c r="G155" s="182"/>
      <c r="H155" s="152"/>
    </row>
    <row r="156" spans="2:8" s="43" customFormat="1" ht="15" thickBot="1" x14ac:dyDescent="0.35">
      <c r="B156" s="86" t="s">
        <v>40</v>
      </c>
      <c r="C156" s="67">
        <f>SUM(C148:C155)</f>
        <v>48</v>
      </c>
      <c r="D156" s="86" t="str">
        <f xml:space="preserve"> setValueToTime(C156)</f>
        <v>4h</v>
      </c>
      <c r="E156" s="95"/>
      <c r="F156" s="224"/>
      <c r="G156" s="225"/>
      <c r="H156" s="152"/>
    </row>
    <row r="157" spans="2:8" s="43" customFormat="1" ht="15" thickBot="1" x14ac:dyDescent="0.35">
      <c r="B157" s="62"/>
      <c r="C157" s="62"/>
      <c r="D157" s="62"/>
      <c r="E157" s="62"/>
      <c r="F157" s="62"/>
      <c r="G157" s="62"/>
      <c r="H157" s="152"/>
    </row>
    <row r="158" spans="2:8" s="39" customFormat="1" ht="30" customHeight="1" thickBot="1" x14ac:dyDescent="0.3">
      <c r="B158" s="64" t="s">
        <v>33</v>
      </c>
      <c r="C158" s="136">
        <v>14</v>
      </c>
      <c r="D158" s="136"/>
      <c r="E158" s="65" t="s">
        <v>34</v>
      </c>
      <c r="F158" s="77">
        <v>46160</v>
      </c>
      <c r="G158" s="101" t="s">
        <v>76</v>
      </c>
      <c r="H158" s="151"/>
    </row>
    <row r="159" spans="2:8" s="39" customFormat="1" ht="30" customHeight="1" thickBot="1" x14ac:dyDescent="0.3">
      <c r="B159" s="63" t="s">
        <v>35</v>
      </c>
      <c r="C159" s="123" t="s">
        <v>36</v>
      </c>
      <c r="D159" s="124"/>
      <c r="E159" s="63" t="s">
        <v>37</v>
      </c>
      <c r="F159" s="222" t="s">
        <v>38</v>
      </c>
      <c r="G159" s="223"/>
      <c r="H159" s="151"/>
    </row>
    <row r="160" spans="2:8" s="43" customFormat="1" x14ac:dyDescent="0.3">
      <c r="B160" s="40" t="s">
        <v>68</v>
      </c>
      <c r="C160" s="41">
        <v>10</v>
      </c>
      <c r="D160" s="125" t="str">
        <f xml:space="preserve"> IF(C160="","",setValueToTime(C160))</f>
        <v xml:space="preserve"> 50 min</v>
      </c>
      <c r="E160" s="42"/>
      <c r="F160" s="175"/>
      <c r="G160" s="176"/>
      <c r="H160" s="152"/>
    </row>
    <row r="161" spans="2:8" s="43" customFormat="1" ht="27" x14ac:dyDescent="0.3">
      <c r="B161" s="44" t="s">
        <v>67</v>
      </c>
      <c r="C161" s="45">
        <v>15</v>
      </c>
      <c r="D161" s="126" t="str">
        <f t="shared" ref="D161:D167" si="14" xml:space="preserve"> IF(C161="","",setValueToTime(C161))</f>
        <v>1h 15 min</v>
      </c>
      <c r="E161" s="46"/>
      <c r="F161" s="177"/>
      <c r="G161" s="178"/>
      <c r="H161" s="152"/>
    </row>
    <row r="162" spans="2:8" s="43" customFormat="1" x14ac:dyDescent="0.3">
      <c r="B162" s="44" t="s">
        <v>29</v>
      </c>
      <c r="C162" s="45">
        <v>4</v>
      </c>
      <c r="D162" s="126" t="str">
        <f t="shared" si="14"/>
        <v xml:space="preserve"> 20 min</v>
      </c>
      <c r="E162" s="46"/>
      <c r="F162" s="177"/>
      <c r="G162" s="178"/>
      <c r="H162" s="152"/>
    </row>
    <row r="163" spans="2:8" s="43" customFormat="1" x14ac:dyDescent="0.3">
      <c r="B163" s="44"/>
      <c r="C163" s="45"/>
      <c r="D163" s="126" t="str">
        <f t="shared" si="14"/>
        <v/>
      </c>
      <c r="E163" s="46"/>
      <c r="F163" s="177"/>
      <c r="G163" s="178"/>
      <c r="H163" s="152"/>
    </row>
    <row r="164" spans="2:8" s="43" customFormat="1" x14ac:dyDescent="0.3">
      <c r="B164" s="44"/>
      <c r="C164" s="45"/>
      <c r="D164" s="127" t="str">
        <f t="shared" si="14"/>
        <v/>
      </c>
      <c r="E164" s="46"/>
      <c r="F164" s="177"/>
      <c r="G164" s="178"/>
      <c r="H164" s="152"/>
    </row>
    <row r="165" spans="2:8" s="43" customFormat="1" x14ac:dyDescent="0.3">
      <c r="B165" s="44"/>
      <c r="C165" s="45"/>
      <c r="D165" s="127" t="str">
        <f t="shared" si="14"/>
        <v/>
      </c>
      <c r="E165" s="46"/>
      <c r="F165" s="177"/>
      <c r="G165" s="178"/>
      <c r="H165" s="152"/>
    </row>
    <row r="166" spans="2:8" s="43" customFormat="1" x14ac:dyDescent="0.3">
      <c r="B166" s="44"/>
      <c r="C166" s="45"/>
      <c r="D166" s="127" t="str">
        <f t="shared" si="14"/>
        <v/>
      </c>
      <c r="E166" s="46"/>
      <c r="F166" s="177"/>
      <c r="G166" s="178"/>
      <c r="H166" s="152"/>
    </row>
    <row r="167" spans="2:8" s="43" customFormat="1" ht="15" thickBot="1" x14ac:dyDescent="0.35">
      <c r="B167" s="44"/>
      <c r="C167" s="47"/>
      <c r="D167" s="128" t="str">
        <f t="shared" si="14"/>
        <v/>
      </c>
      <c r="E167" s="48"/>
      <c r="F167" s="181"/>
      <c r="G167" s="182"/>
      <c r="H167" s="152"/>
    </row>
    <row r="168" spans="2:8" s="43" customFormat="1" ht="15" thickBot="1" x14ac:dyDescent="0.35">
      <c r="B168" s="86" t="s">
        <v>40</v>
      </c>
      <c r="C168" s="67">
        <f>SUM(C160:C167)</f>
        <v>29</v>
      </c>
      <c r="D168" s="86" t="str">
        <f xml:space="preserve"> setValueToTime(C168)</f>
        <v>2h 25 min</v>
      </c>
      <c r="E168" s="95"/>
      <c r="F168" s="224"/>
      <c r="G168" s="225"/>
      <c r="H168" s="152"/>
    </row>
    <row r="169" spans="2:8" s="43" customFormat="1" ht="15" thickBot="1" x14ac:dyDescent="0.35">
      <c r="B169" s="62"/>
      <c r="C169" s="62"/>
      <c r="D169" s="62"/>
      <c r="E169" s="62"/>
      <c r="F169" s="62"/>
      <c r="G169" s="62"/>
      <c r="H169" s="152"/>
    </row>
    <row r="170" spans="2:8" s="39" customFormat="1" ht="30" customHeight="1" thickBot="1" x14ac:dyDescent="0.3">
      <c r="B170" s="64" t="s">
        <v>33</v>
      </c>
      <c r="C170" s="136">
        <v>13</v>
      </c>
      <c r="D170" s="136"/>
      <c r="E170" s="65" t="s">
        <v>34</v>
      </c>
      <c r="F170" s="77">
        <v>46160</v>
      </c>
      <c r="G170" s="101" t="s">
        <v>77</v>
      </c>
      <c r="H170" s="151"/>
    </row>
    <row r="171" spans="2:8" s="39" customFormat="1" ht="30" customHeight="1" thickBot="1" x14ac:dyDescent="0.3">
      <c r="B171" s="63" t="s">
        <v>35</v>
      </c>
      <c r="C171" s="123" t="s">
        <v>36</v>
      </c>
      <c r="D171" s="124"/>
      <c r="E171" s="63" t="s">
        <v>37</v>
      </c>
      <c r="F171" s="222" t="s">
        <v>38</v>
      </c>
      <c r="G171" s="223"/>
      <c r="H171" s="151"/>
    </row>
    <row r="172" spans="2:8" s="43" customFormat="1" ht="27" x14ac:dyDescent="0.3">
      <c r="B172" s="40" t="s">
        <v>62</v>
      </c>
      <c r="C172" s="41">
        <v>19</v>
      </c>
      <c r="D172" s="125" t="str">
        <f xml:space="preserve"> IF(C172="","",setValueToTime(C172))</f>
        <v>1h 35 min</v>
      </c>
      <c r="E172" s="42"/>
      <c r="F172" s="175"/>
      <c r="G172" s="176"/>
      <c r="H172" s="152"/>
    </row>
    <row r="173" spans="2:8" s="43" customFormat="1" x14ac:dyDescent="0.3">
      <c r="B173" s="44" t="s">
        <v>69</v>
      </c>
      <c r="C173" s="45">
        <v>12</v>
      </c>
      <c r="D173" s="126" t="str">
        <f t="shared" ref="D173:D179" si="15" xml:space="preserve"> IF(C173="","",setValueToTime(C173))</f>
        <v>1h</v>
      </c>
      <c r="E173" s="46"/>
      <c r="F173" s="177"/>
      <c r="G173" s="178"/>
      <c r="H173" s="152"/>
    </row>
    <row r="174" spans="2:8" s="43" customFormat="1" x14ac:dyDescent="0.3">
      <c r="B174" s="44" t="s">
        <v>68</v>
      </c>
      <c r="C174" s="45">
        <v>7</v>
      </c>
      <c r="D174" s="126" t="str">
        <f t="shared" ref="D174" si="16" xml:space="preserve"> IF(C174="","",setValueToTime(C174))</f>
        <v xml:space="preserve"> 35 min</v>
      </c>
      <c r="E174" s="46"/>
      <c r="F174" s="177"/>
      <c r="G174" s="178"/>
      <c r="H174" s="152"/>
    </row>
    <row r="175" spans="2:8" s="43" customFormat="1" x14ac:dyDescent="0.3">
      <c r="B175" s="44"/>
      <c r="C175" s="45"/>
      <c r="D175" s="126" t="str">
        <f t="shared" si="15"/>
        <v/>
      </c>
      <c r="E175" s="46"/>
      <c r="F175" s="177"/>
      <c r="G175" s="178"/>
      <c r="H175" s="152"/>
    </row>
    <row r="176" spans="2:8" s="43" customFormat="1" x14ac:dyDescent="0.3">
      <c r="B176" s="44"/>
      <c r="C176" s="45"/>
      <c r="D176" s="127" t="str">
        <f t="shared" si="15"/>
        <v/>
      </c>
      <c r="E176" s="46"/>
      <c r="F176" s="177"/>
      <c r="G176" s="178"/>
      <c r="H176" s="152"/>
    </row>
    <row r="177" spans="2:8" s="43" customFormat="1" x14ac:dyDescent="0.3">
      <c r="B177" s="44"/>
      <c r="C177" s="45"/>
      <c r="D177" s="127" t="str">
        <f t="shared" si="15"/>
        <v/>
      </c>
      <c r="E177" s="46"/>
      <c r="F177" s="177"/>
      <c r="G177" s="178"/>
      <c r="H177" s="152"/>
    </row>
    <row r="178" spans="2:8" s="43" customFormat="1" x14ac:dyDescent="0.3">
      <c r="B178" s="44"/>
      <c r="C178" s="45"/>
      <c r="D178" s="127" t="str">
        <f t="shared" si="15"/>
        <v/>
      </c>
      <c r="E178" s="46"/>
      <c r="F178" s="177"/>
      <c r="G178" s="178"/>
      <c r="H178" s="152"/>
    </row>
    <row r="179" spans="2:8" s="43" customFormat="1" ht="15" thickBot="1" x14ac:dyDescent="0.35">
      <c r="B179" s="44"/>
      <c r="C179" s="47"/>
      <c r="D179" s="128" t="str">
        <f t="shared" si="15"/>
        <v/>
      </c>
      <c r="E179" s="48"/>
      <c r="F179" s="181"/>
      <c r="G179" s="182"/>
      <c r="H179" s="152"/>
    </row>
    <row r="180" spans="2:8" s="43" customFormat="1" ht="15" thickBot="1" x14ac:dyDescent="0.35">
      <c r="B180" s="86" t="s">
        <v>40</v>
      </c>
      <c r="C180" s="67">
        <f>SUM(C172:C179)</f>
        <v>38</v>
      </c>
      <c r="D180" s="86" t="str">
        <f xml:space="preserve"> setValueToTime(C180)</f>
        <v>3h 10 min</v>
      </c>
      <c r="E180" s="95"/>
      <c r="F180" s="224"/>
      <c r="G180" s="225"/>
      <c r="H180" s="152"/>
    </row>
    <row r="181" spans="2:8" s="43" customFormat="1" ht="15" thickBot="1" x14ac:dyDescent="0.35">
      <c r="B181" s="62"/>
      <c r="C181" s="62"/>
      <c r="D181" s="62"/>
      <c r="E181" s="62"/>
      <c r="F181" s="62"/>
      <c r="G181" s="62"/>
      <c r="H181" s="152"/>
    </row>
    <row r="182" spans="2:8" s="39" customFormat="1" ht="30" customHeight="1" thickBot="1" x14ac:dyDescent="0.3">
      <c r="B182" s="64" t="s">
        <v>33</v>
      </c>
      <c r="C182" s="136">
        <v>12</v>
      </c>
      <c r="D182" s="136"/>
      <c r="E182" s="65" t="s">
        <v>34</v>
      </c>
      <c r="F182" s="77">
        <v>46155</v>
      </c>
      <c r="G182" s="101" t="s">
        <v>76</v>
      </c>
      <c r="H182" s="151"/>
    </row>
    <row r="183" spans="2:8" s="39" customFormat="1" ht="30" customHeight="1" thickBot="1" x14ac:dyDescent="0.3">
      <c r="B183" s="63" t="s">
        <v>35</v>
      </c>
      <c r="C183" s="123" t="s">
        <v>36</v>
      </c>
      <c r="D183" s="124"/>
      <c r="E183" s="63" t="s">
        <v>37</v>
      </c>
      <c r="F183" s="222" t="s">
        <v>38</v>
      </c>
      <c r="G183" s="223"/>
      <c r="H183" s="151"/>
    </row>
    <row r="184" spans="2:8" s="43" customFormat="1" x14ac:dyDescent="0.3">
      <c r="B184" s="40" t="s">
        <v>48</v>
      </c>
      <c r="C184" s="41">
        <v>6</v>
      </c>
      <c r="D184" s="125" t="str">
        <f xml:space="preserve"> IF(C184="","",setValueToTime(C184))</f>
        <v xml:space="preserve"> 30 min</v>
      </c>
      <c r="E184" s="42"/>
      <c r="F184" s="175"/>
      <c r="G184" s="176"/>
      <c r="H184" s="152"/>
    </row>
    <row r="185" spans="2:8" s="43" customFormat="1" x14ac:dyDescent="0.3">
      <c r="B185" s="44" t="s">
        <v>30</v>
      </c>
      <c r="C185" s="45">
        <v>20</v>
      </c>
      <c r="D185" s="126" t="str">
        <f t="shared" ref="D185:D191" si="17" xml:space="preserve"> IF(C185="","",setValueToTime(C185))</f>
        <v>1h 40 min</v>
      </c>
      <c r="E185" s="46"/>
      <c r="F185" s="177"/>
      <c r="G185" s="178"/>
      <c r="H185" s="152"/>
    </row>
    <row r="186" spans="2:8" s="43" customFormat="1" ht="27" x14ac:dyDescent="0.3">
      <c r="B186" s="44" t="s">
        <v>65</v>
      </c>
      <c r="C186" s="45">
        <v>10</v>
      </c>
      <c r="D186" s="126" t="str">
        <f t="shared" si="17"/>
        <v xml:space="preserve"> 50 min</v>
      </c>
      <c r="E186" s="46"/>
      <c r="F186" s="177"/>
      <c r="G186" s="178"/>
      <c r="H186" s="152"/>
    </row>
    <row r="187" spans="2:8" s="43" customFormat="1" x14ac:dyDescent="0.3">
      <c r="B187" s="44" t="s">
        <v>29</v>
      </c>
      <c r="C187" s="45">
        <v>2</v>
      </c>
      <c r="D187" s="126" t="str">
        <f t="shared" si="17"/>
        <v xml:space="preserve"> 10 min</v>
      </c>
      <c r="E187" s="46"/>
      <c r="F187" s="177"/>
      <c r="G187" s="178"/>
      <c r="H187" s="152"/>
    </row>
    <row r="188" spans="2:8" s="43" customFormat="1" x14ac:dyDescent="0.3">
      <c r="B188" s="44"/>
      <c r="C188" s="45"/>
      <c r="D188" s="127" t="str">
        <f t="shared" si="17"/>
        <v/>
      </c>
      <c r="E188" s="46"/>
      <c r="F188" s="177"/>
      <c r="G188" s="178"/>
      <c r="H188" s="152"/>
    </row>
    <row r="189" spans="2:8" s="43" customFormat="1" x14ac:dyDescent="0.3">
      <c r="B189" s="44"/>
      <c r="C189" s="45"/>
      <c r="D189" s="127" t="str">
        <f t="shared" si="17"/>
        <v/>
      </c>
      <c r="E189" s="46"/>
      <c r="F189" s="177"/>
      <c r="G189" s="178"/>
      <c r="H189" s="152"/>
    </row>
    <row r="190" spans="2:8" s="43" customFormat="1" x14ac:dyDescent="0.3">
      <c r="B190" s="44"/>
      <c r="C190" s="45"/>
      <c r="D190" s="127" t="str">
        <f t="shared" si="17"/>
        <v/>
      </c>
      <c r="E190" s="46"/>
      <c r="F190" s="177"/>
      <c r="G190" s="178"/>
      <c r="H190" s="152"/>
    </row>
    <row r="191" spans="2:8" s="43" customFormat="1" ht="15" thickBot="1" x14ac:dyDescent="0.35">
      <c r="B191" s="44"/>
      <c r="C191" s="47"/>
      <c r="D191" s="128" t="str">
        <f t="shared" si="17"/>
        <v/>
      </c>
      <c r="E191" s="48"/>
      <c r="F191" s="181"/>
      <c r="G191" s="182"/>
      <c r="H191" s="152"/>
    </row>
    <row r="192" spans="2:8" s="43" customFormat="1" ht="15" thickBot="1" x14ac:dyDescent="0.35">
      <c r="B192" s="86" t="s">
        <v>40</v>
      </c>
      <c r="C192" s="67">
        <f>SUM(C184:C191)</f>
        <v>38</v>
      </c>
      <c r="D192" s="86" t="str">
        <f xml:space="preserve"> setValueToTime(C192)</f>
        <v>3h 10 min</v>
      </c>
      <c r="E192" s="95"/>
      <c r="F192" s="224"/>
      <c r="G192" s="225"/>
      <c r="H192" s="152"/>
    </row>
    <row r="193" spans="2:8" s="43" customFormat="1" ht="15" thickBot="1" x14ac:dyDescent="0.35">
      <c r="B193" s="62"/>
      <c r="C193" s="62"/>
      <c r="D193" s="62"/>
      <c r="E193" s="62"/>
      <c r="F193" s="62"/>
      <c r="G193" s="62"/>
      <c r="H193" s="152"/>
    </row>
    <row r="194" spans="2:8" s="39" customFormat="1" ht="30" customHeight="1" thickBot="1" x14ac:dyDescent="0.3">
      <c r="B194" s="64" t="s">
        <v>33</v>
      </c>
      <c r="C194" s="136">
        <v>11</v>
      </c>
      <c r="D194" s="136"/>
      <c r="E194" s="65" t="s">
        <v>34</v>
      </c>
      <c r="F194" s="77">
        <v>46155</v>
      </c>
      <c r="G194" s="101" t="s">
        <v>77</v>
      </c>
      <c r="H194" s="151"/>
    </row>
    <row r="195" spans="2:8" s="39" customFormat="1" ht="30" customHeight="1" thickBot="1" x14ac:dyDescent="0.3">
      <c r="B195" s="63" t="s">
        <v>35</v>
      </c>
      <c r="C195" s="123" t="s">
        <v>36</v>
      </c>
      <c r="D195" s="124"/>
      <c r="E195" s="63" t="s">
        <v>37</v>
      </c>
      <c r="F195" s="222" t="s">
        <v>38</v>
      </c>
      <c r="G195" s="223"/>
      <c r="H195" s="151"/>
    </row>
    <row r="196" spans="2:8" s="43" customFormat="1" x14ac:dyDescent="0.3">
      <c r="B196" s="40" t="s">
        <v>53</v>
      </c>
      <c r="C196" s="41">
        <v>30</v>
      </c>
      <c r="D196" s="125" t="str">
        <f xml:space="preserve"> IF(C196="","",setValueToTime(C196))</f>
        <v>2h 30 min</v>
      </c>
      <c r="E196" s="42"/>
      <c r="F196" s="175"/>
      <c r="G196" s="176"/>
      <c r="H196" s="152"/>
    </row>
    <row r="197" spans="2:8" s="43" customFormat="1" x14ac:dyDescent="0.3">
      <c r="B197" s="44" t="s">
        <v>48</v>
      </c>
      <c r="C197" s="45">
        <v>18</v>
      </c>
      <c r="D197" s="126" t="str">
        <f t="shared" ref="D197:D203" si="18" xml:space="preserve"> IF(C197="","",setValueToTime(C197))</f>
        <v>1h 30 min</v>
      </c>
      <c r="E197" s="46"/>
      <c r="F197" s="177"/>
      <c r="G197" s="178"/>
      <c r="H197" s="152"/>
    </row>
    <row r="198" spans="2:8" s="43" customFormat="1" x14ac:dyDescent="0.3">
      <c r="B198" s="44"/>
      <c r="C198" s="45"/>
      <c r="D198" s="126" t="str">
        <f t="shared" si="18"/>
        <v/>
      </c>
      <c r="E198" s="46"/>
      <c r="F198" s="177"/>
      <c r="G198" s="178"/>
      <c r="H198" s="152"/>
    </row>
    <row r="199" spans="2:8" s="43" customFormat="1" x14ac:dyDescent="0.3">
      <c r="B199" s="44"/>
      <c r="C199" s="45"/>
      <c r="D199" s="126" t="str">
        <f t="shared" si="18"/>
        <v/>
      </c>
      <c r="E199" s="46"/>
      <c r="F199" s="177"/>
      <c r="G199" s="178"/>
      <c r="H199" s="152"/>
    </row>
    <row r="200" spans="2:8" s="43" customFormat="1" x14ac:dyDescent="0.3">
      <c r="B200" s="44"/>
      <c r="C200" s="45"/>
      <c r="D200" s="127" t="str">
        <f t="shared" si="18"/>
        <v/>
      </c>
      <c r="E200" s="46"/>
      <c r="F200" s="177"/>
      <c r="G200" s="178"/>
      <c r="H200" s="152"/>
    </row>
    <row r="201" spans="2:8" s="43" customFormat="1" x14ac:dyDescent="0.3">
      <c r="B201" s="44"/>
      <c r="C201" s="45"/>
      <c r="D201" s="127" t="str">
        <f t="shared" si="18"/>
        <v/>
      </c>
      <c r="E201" s="46"/>
      <c r="F201" s="177"/>
      <c r="G201" s="178"/>
      <c r="H201" s="152"/>
    </row>
    <row r="202" spans="2:8" s="43" customFormat="1" x14ac:dyDescent="0.3">
      <c r="B202" s="44"/>
      <c r="C202" s="45"/>
      <c r="D202" s="127" t="str">
        <f t="shared" si="18"/>
        <v/>
      </c>
      <c r="E202" s="46"/>
      <c r="F202" s="177"/>
      <c r="G202" s="178"/>
      <c r="H202" s="152"/>
    </row>
    <row r="203" spans="2:8" s="43" customFormat="1" ht="15" thickBot="1" x14ac:dyDescent="0.35">
      <c r="B203" s="44"/>
      <c r="C203" s="47"/>
      <c r="D203" s="128" t="str">
        <f t="shared" si="18"/>
        <v/>
      </c>
      <c r="E203" s="48"/>
      <c r="F203" s="181"/>
      <c r="G203" s="182"/>
      <c r="H203" s="152"/>
    </row>
    <row r="204" spans="2:8" s="43" customFormat="1" ht="15" thickBot="1" x14ac:dyDescent="0.35">
      <c r="B204" s="86" t="s">
        <v>40</v>
      </c>
      <c r="C204" s="67">
        <f>SUM(C196:C203)</f>
        <v>48</v>
      </c>
      <c r="D204" s="86" t="str">
        <f xml:space="preserve"> setValueToTime(C204)</f>
        <v>4h</v>
      </c>
      <c r="E204" s="95"/>
      <c r="F204" s="224"/>
      <c r="G204" s="225"/>
      <c r="H204" s="152"/>
    </row>
    <row r="205" spans="2:8" s="43" customFormat="1" ht="15" thickBot="1" x14ac:dyDescent="0.35">
      <c r="B205" s="62"/>
      <c r="C205" s="62"/>
      <c r="D205" s="62"/>
      <c r="E205" s="62"/>
      <c r="F205" s="62"/>
      <c r="G205" s="62"/>
      <c r="H205" s="152"/>
    </row>
    <row r="206" spans="2:8" s="39" customFormat="1" ht="30" customHeight="1" thickBot="1" x14ac:dyDescent="0.3">
      <c r="B206" s="64" t="s">
        <v>33</v>
      </c>
      <c r="C206" s="136">
        <v>10</v>
      </c>
      <c r="D206" s="136"/>
      <c r="E206" s="65" t="s">
        <v>34</v>
      </c>
      <c r="F206" s="77">
        <v>46153</v>
      </c>
      <c r="G206" s="101" t="s">
        <v>76</v>
      </c>
      <c r="H206" s="151"/>
    </row>
    <row r="207" spans="2:8" s="39" customFormat="1" ht="30" customHeight="1" thickBot="1" x14ac:dyDescent="0.3">
      <c r="B207" s="63" t="s">
        <v>35</v>
      </c>
      <c r="C207" s="123" t="s">
        <v>36</v>
      </c>
      <c r="D207" s="124"/>
      <c r="E207" s="63" t="s">
        <v>37</v>
      </c>
      <c r="F207" s="222" t="s">
        <v>38</v>
      </c>
      <c r="G207" s="223"/>
      <c r="H207" s="151"/>
    </row>
    <row r="208" spans="2:8" s="43" customFormat="1" ht="27" x14ac:dyDescent="0.3">
      <c r="B208" s="40" t="s">
        <v>54</v>
      </c>
      <c r="C208" s="41">
        <v>6</v>
      </c>
      <c r="D208" s="125" t="str">
        <f xml:space="preserve"> IF(C208="","",setValueToTime(C208))</f>
        <v xml:space="preserve"> 30 min</v>
      </c>
      <c r="E208" s="42"/>
      <c r="F208" s="175"/>
      <c r="G208" s="176"/>
      <c r="H208" s="152"/>
    </row>
    <row r="209" spans="2:8" s="43" customFormat="1" x14ac:dyDescent="0.3">
      <c r="B209" s="44" t="s">
        <v>53</v>
      </c>
      <c r="C209" s="45">
        <v>19</v>
      </c>
      <c r="D209" s="126" t="str">
        <f t="shared" ref="D209:D215" si="19" xml:space="preserve"> IF(C209="","",setValueToTime(C209))</f>
        <v>1h 35 min</v>
      </c>
      <c r="E209" s="46"/>
      <c r="F209" s="177"/>
      <c r="G209" s="178"/>
      <c r="H209" s="152"/>
    </row>
    <row r="210" spans="2:8" s="43" customFormat="1" x14ac:dyDescent="0.3">
      <c r="B210" s="44" t="s">
        <v>29</v>
      </c>
      <c r="C210" s="45">
        <v>4</v>
      </c>
      <c r="D210" s="126" t="str">
        <f t="shared" si="19"/>
        <v xml:space="preserve"> 20 min</v>
      </c>
      <c r="E210" s="46"/>
      <c r="F210" s="177"/>
      <c r="G210" s="178"/>
      <c r="H210" s="152"/>
    </row>
    <row r="211" spans="2:8" s="43" customFormat="1" x14ac:dyDescent="0.3">
      <c r="B211" s="44"/>
      <c r="C211" s="45"/>
      <c r="D211" s="126" t="str">
        <f t="shared" si="19"/>
        <v/>
      </c>
      <c r="E211" s="46"/>
      <c r="F211" s="177"/>
      <c r="G211" s="178"/>
      <c r="H211" s="152"/>
    </row>
    <row r="212" spans="2:8" s="43" customFormat="1" x14ac:dyDescent="0.3">
      <c r="B212" s="44"/>
      <c r="C212" s="45"/>
      <c r="D212" s="127" t="str">
        <f t="shared" si="19"/>
        <v/>
      </c>
      <c r="E212" s="46"/>
      <c r="F212" s="177"/>
      <c r="G212" s="178"/>
      <c r="H212" s="152"/>
    </row>
    <row r="213" spans="2:8" s="43" customFormat="1" x14ac:dyDescent="0.3">
      <c r="B213" s="44"/>
      <c r="C213" s="45"/>
      <c r="D213" s="127" t="str">
        <f t="shared" si="19"/>
        <v/>
      </c>
      <c r="E213" s="46"/>
      <c r="F213" s="177"/>
      <c r="G213" s="178"/>
      <c r="H213" s="152"/>
    </row>
    <row r="214" spans="2:8" s="43" customFormat="1" x14ac:dyDescent="0.3">
      <c r="B214" s="44"/>
      <c r="C214" s="45"/>
      <c r="D214" s="127" t="str">
        <f t="shared" si="19"/>
        <v/>
      </c>
      <c r="E214" s="46"/>
      <c r="F214" s="177"/>
      <c r="G214" s="178"/>
      <c r="H214" s="152"/>
    </row>
    <row r="215" spans="2:8" s="43" customFormat="1" ht="15" thickBot="1" x14ac:dyDescent="0.35">
      <c r="B215" s="44"/>
      <c r="C215" s="47"/>
      <c r="D215" s="128" t="str">
        <f t="shared" si="19"/>
        <v/>
      </c>
      <c r="E215" s="48"/>
      <c r="F215" s="181"/>
      <c r="G215" s="182"/>
      <c r="H215" s="152"/>
    </row>
    <row r="216" spans="2:8" s="43" customFormat="1" ht="15" thickBot="1" x14ac:dyDescent="0.35">
      <c r="B216" s="86" t="s">
        <v>40</v>
      </c>
      <c r="C216" s="67">
        <f>SUM(C208:C215)</f>
        <v>29</v>
      </c>
      <c r="D216" s="86" t="str">
        <f xml:space="preserve"> setValueToTime(C216)</f>
        <v>2h 25 min</v>
      </c>
      <c r="E216" s="95"/>
      <c r="F216" s="224"/>
      <c r="G216" s="225"/>
      <c r="H216" s="152"/>
    </row>
    <row r="217" spans="2:8" s="43" customFormat="1" ht="15" thickBot="1" x14ac:dyDescent="0.35">
      <c r="B217" s="62"/>
      <c r="C217" s="62"/>
      <c r="D217" s="62"/>
      <c r="E217" s="62"/>
      <c r="F217" s="62"/>
      <c r="G217" s="62"/>
      <c r="H217" s="152"/>
    </row>
    <row r="218" spans="2:8" s="39" customFormat="1" ht="30" customHeight="1" thickBot="1" x14ac:dyDescent="0.3">
      <c r="B218" s="64" t="s">
        <v>33</v>
      </c>
      <c r="C218" s="136">
        <v>9</v>
      </c>
      <c r="D218" s="136"/>
      <c r="E218" s="65" t="s">
        <v>34</v>
      </c>
      <c r="F218" s="77">
        <v>46153</v>
      </c>
      <c r="G218" s="101" t="s">
        <v>77</v>
      </c>
      <c r="H218" s="151"/>
    </row>
    <row r="219" spans="2:8" s="39" customFormat="1" ht="30" customHeight="1" thickBot="1" x14ac:dyDescent="0.3">
      <c r="B219" s="63" t="s">
        <v>35</v>
      </c>
      <c r="C219" s="123" t="s">
        <v>36</v>
      </c>
      <c r="D219" s="124"/>
      <c r="E219" s="63" t="s">
        <v>37</v>
      </c>
      <c r="F219" s="222" t="s">
        <v>38</v>
      </c>
      <c r="G219" s="223"/>
      <c r="H219" s="151"/>
    </row>
    <row r="220" spans="2:8" s="43" customFormat="1" x14ac:dyDescent="0.3">
      <c r="B220" s="40" t="s">
        <v>52</v>
      </c>
      <c r="C220" s="41">
        <v>32</v>
      </c>
      <c r="D220" s="125" t="str">
        <f xml:space="preserve"> IF(C220="","",setValueToTime(C220))</f>
        <v>2h 40 min</v>
      </c>
      <c r="E220" s="42"/>
      <c r="F220" s="175"/>
      <c r="G220" s="176"/>
      <c r="H220" s="152"/>
    </row>
    <row r="221" spans="2:8" s="43" customFormat="1" ht="27" x14ac:dyDescent="0.3">
      <c r="B221" s="44" t="s">
        <v>54</v>
      </c>
      <c r="C221" s="45">
        <v>6</v>
      </c>
      <c r="D221" s="126" t="str">
        <f t="shared" ref="D221:D227" si="20" xml:space="preserve"> IF(C221="","",setValueToTime(C221))</f>
        <v xml:space="preserve"> 30 min</v>
      </c>
      <c r="E221" s="46"/>
      <c r="F221" s="177"/>
      <c r="G221" s="178"/>
      <c r="H221" s="152"/>
    </row>
    <row r="222" spans="2:8" s="43" customFormat="1" x14ac:dyDescent="0.3">
      <c r="B222" s="44"/>
      <c r="C222" s="45"/>
      <c r="D222" s="126" t="str">
        <f t="shared" si="20"/>
        <v/>
      </c>
      <c r="E222" s="46"/>
      <c r="F222" s="177"/>
      <c r="G222" s="178"/>
      <c r="H222" s="152"/>
    </row>
    <row r="223" spans="2:8" s="43" customFormat="1" x14ac:dyDescent="0.3">
      <c r="B223" s="44"/>
      <c r="C223" s="45"/>
      <c r="D223" s="126" t="str">
        <f t="shared" si="20"/>
        <v/>
      </c>
      <c r="E223" s="46"/>
      <c r="F223" s="177"/>
      <c r="G223" s="178"/>
      <c r="H223" s="152"/>
    </row>
    <row r="224" spans="2:8" s="43" customFormat="1" x14ac:dyDescent="0.3">
      <c r="B224" s="44"/>
      <c r="C224" s="45"/>
      <c r="D224" s="127" t="str">
        <f t="shared" si="20"/>
        <v/>
      </c>
      <c r="E224" s="46"/>
      <c r="F224" s="177"/>
      <c r="G224" s="178"/>
      <c r="H224" s="152"/>
    </row>
    <row r="225" spans="2:8" s="43" customFormat="1" x14ac:dyDescent="0.3">
      <c r="B225" s="44"/>
      <c r="C225" s="45"/>
      <c r="D225" s="127" t="str">
        <f t="shared" si="20"/>
        <v/>
      </c>
      <c r="E225" s="46"/>
      <c r="F225" s="177"/>
      <c r="G225" s="178"/>
      <c r="H225" s="152"/>
    </row>
    <row r="226" spans="2:8" s="43" customFormat="1" x14ac:dyDescent="0.3">
      <c r="B226" s="44"/>
      <c r="C226" s="45"/>
      <c r="D226" s="127" t="str">
        <f t="shared" si="20"/>
        <v/>
      </c>
      <c r="E226" s="46"/>
      <c r="F226" s="177"/>
      <c r="G226" s="178"/>
      <c r="H226" s="152"/>
    </row>
    <row r="227" spans="2:8" s="43" customFormat="1" ht="15" thickBot="1" x14ac:dyDescent="0.35">
      <c r="B227" s="44"/>
      <c r="C227" s="47"/>
      <c r="D227" s="128" t="str">
        <f t="shared" si="20"/>
        <v/>
      </c>
      <c r="E227" s="48"/>
      <c r="F227" s="181"/>
      <c r="G227" s="182"/>
      <c r="H227" s="152"/>
    </row>
    <row r="228" spans="2:8" s="43" customFormat="1" ht="15" thickBot="1" x14ac:dyDescent="0.35">
      <c r="B228" s="86" t="s">
        <v>40</v>
      </c>
      <c r="C228" s="67">
        <f>SUM(C220:C227)</f>
        <v>38</v>
      </c>
      <c r="D228" s="86" t="str">
        <f xml:space="preserve"> setValueToTime(C228)</f>
        <v>3h 10 min</v>
      </c>
      <c r="E228" s="95"/>
      <c r="F228" s="224"/>
      <c r="G228" s="225"/>
      <c r="H228" s="152"/>
    </row>
    <row r="229" spans="2:8" s="43" customFormat="1" ht="15" thickBot="1" x14ac:dyDescent="0.35">
      <c r="B229" s="62"/>
      <c r="C229" s="62"/>
      <c r="D229" s="62"/>
      <c r="E229" s="62"/>
      <c r="F229" s="62"/>
      <c r="G229" s="62"/>
      <c r="H229" s="152"/>
    </row>
    <row r="230" spans="2:8" s="39" customFormat="1" ht="30" customHeight="1" thickBot="1" x14ac:dyDescent="0.3">
      <c r="B230" s="64" t="s">
        <v>33</v>
      </c>
      <c r="C230" s="136">
        <v>8</v>
      </c>
      <c r="D230" s="136"/>
      <c r="E230" s="65" t="s">
        <v>34</v>
      </c>
      <c r="F230" s="77">
        <v>46150</v>
      </c>
      <c r="G230" s="101" t="s">
        <v>76</v>
      </c>
      <c r="H230" s="151"/>
    </row>
    <row r="231" spans="2:8" s="39" customFormat="1" ht="30" customHeight="1" thickBot="1" x14ac:dyDescent="0.3">
      <c r="B231" s="63" t="s">
        <v>35</v>
      </c>
      <c r="C231" s="123" t="s">
        <v>36</v>
      </c>
      <c r="D231" s="124"/>
      <c r="E231" s="63" t="s">
        <v>37</v>
      </c>
      <c r="F231" s="222" t="s">
        <v>38</v>
      </c>
      <c r="G231" s="223"/>
      <c r="H231" s="151"/>
    </row>
    <row r="232" spans="2:8" s="43" customFormat="1" x14ac:dyDescent="0.3">
      <c r="B232" s="40" t="s">
        <v>44</v>
      </c>
      <c r="C232" s="41">
        <v>8</v>
      </c>
      <c r="D232" s="125" t="str">
        <f xml:space="preserve"> IF(C232="","",setValueToTime(C232))</f>
        <v xml:space="preserve"> 40 min</v>
      </c>
      <c r="E232" s="42"/>
      <c r="F232" s="175"/>
      <c r="G232" s="176"/>
      <c r="H232" s="152"/>
    </row>
    <row r="233" spans="2:8" s="43" customFormat="1" x14ac:dyDescent="0.3">
      <c r="B233" s="44" t="s">
        <v>45</v>
      </c>
      <c r="C233" s="45">
        <v>17</v>
      </c>
      <c r="D233" s="126" t="str">
        <f t="shared" ref="D233:D239" si="21" xml:space="preserve"> IF(C233="","",setValueToTime(C233))</f>
        <v>1h 25 min</v>
      </c>
      <c r="E233" s="46"/>
      <c r="F233" s="177"/>
      <c r="G233" s="178"/>
      <c r="H233" s="152"/>
    </row>
    <row r="234" spans="2:8" s="43" customFormat="1" x14ac:dyDescent="0.3">
      <c r="B234" s="44" t="s">
        <v>30</v>
      </c>
      <c r="C234" s="45">
        <v>10</v>
      </c>
      <c r="D234" s="126" t="str">
        <f t="shared" si="21"/>
        <v xml:space="preserve"> 50 min</v>
      </c>
      <c r="E234" s="46"/>
      <c r="F234" s="177"/>
      <c r="G234" s="178"/>
      <c r="H234" s="152"/>
    </row>
    <row r="235" spans="2:8" s="43" customFormat="1" x14ac:dyDescent="0.3">
      <c r="B235" s="44" t="s">
        <v>29</v>
      </c>
      <c r="C235" s="45">
        <v>3</v>
      </c>
      <c r="D235" s="126" t="str">
        <f t="shared" si="21"/>
        <v xml:space="preserve"> 15 min</v>
      </c>
      <c r="E235" s="46"/>
      <c r="F235" s="177"/>
      <c r="G235" s="178"/>
      <c r="H235" s="152"/>
    </row>
    <row r="236" spans="2:8" s="43" customFormat="1" x14ac:dyDescent="0.3">
      <c r="B236" s="44"/>
      <c r="C236" s="45"/>
      <c r="D236" s="127" t="str">
        <f t="shared" si="21"/>
        <v/>
      </c>
      <c r="E236" s="46"/>
      <c r="F236" s="177"/>
      <c r="G236" s="178"/>
      <c r="H236" s="152"/>
    </row>
    <row r="237" spans="2:8" s="43" customFormat="1" x14ac:dyDescent="0.3">
      <c r="B237" s="44"/>
      <c r="C237" s="45"/>
      <c r="D237" s="127" t="str">
        <f t="shared" si="21"/>
        <v/>
      </c>
      <c r="E237" s="46"/>
      <c r="F237" s="177"/>
      <c r="G237" s="178"/>
      <c r="H237" s="152"/>
    </row>
    <row r="238" spans="2:8" s="43" customFormat="1" x14ac:dyDescent="0.3">
      <c r="B238" s="44"/>
      <c r="C238" s="45"/>
      <c r="D238" s="127" t="str">
        <f t="shared" si="21"/>
        <v/>
      </c>
      <c r="E238" s="46"/>
      <c r="F238" s="177"/>
      <c r="G238" s="178"/>
      <c r="H238" s="152"/>
    </row>
    <row r="239" spans="2:8" s="43" customFormat="1" ht="15" thickBot="1" x14ac:dyDescent="0.35">
      <c r="B239" s="44"/>
      <c r="C239" s="47"/>
      <c r="D239" s="128" t="str">
        <f t="shared" si="21"/>
        <v/>
      </c>
      <c r="E239" s="48"/>
      <c r="F239" s="181"/>
      <c r="G239" s="182"/>
      <c r="H239" s="152"/>
    </row>
    <row r="240" spans="2:8" s="43" customFormat="1" ht="15" thickBot="1" x14ac:dyDescent="0.35">
      <c r="B240" s="86" t="s">
        <v>40</v>
      </c>
      <c r="C240" s="67">
        <f>SUM(C232:C239)</f>
        <v>38</v>
      </c>
      <c r="D240" s="86" t="str">
        <f xml:space="preserve"> setValueToTime(C240)</f>
        <v>3h 10 min</v>
      </c>
      <c r="E240" s="95"/>
      <c r="F240" s="224"/>
      <c r="G240" s="225"/>
      <c r="H240" s="152"/>
    </row>
    <row r="241" spans="2:8" s="43" customFormat="1" ht="15" thickBot="1" x14ac:dyDescent="0.35">
      <c r="B241" s="62"/>
      <c r="C241" s="62"/>
      <c r="D241" s="62"/>
      <c r="E241" s="62"/>
      <c r="F241" s="62"/>
      <c r="G241" s="62"/>
      <c r="H241" s="152"/>
    </row>
    <row r="242" spans="2:8" s="39" customFormat="1" ht="30" customHeight="1" thickBot="1" x14ac:dyDescent="0.3">
      <c r="B242" s="64" t="s">
        <v>33</v>
      </c>
      <c r="C242" s="136">
        <v>7</v>
      </c>
      <c r="D242" s="136"/>
      <c r="E242" s="65" t="s">
        <v>34</v>
      </c>
      <c r="F242" s="77">
        <v>46150</v>
      </c>
      <c r="G242" s="101" t="s">
        <v>77</v>
      </c>
      <c r="H242" s="151"/>
    </row>
    <row r="243" spans="2:8" s="39" customFormat="1" ht="30" customHeight="1" thickBot="1" x14ac:dyDescent="0.3">
      <c r="B243" s="63" t="s">
        <v>35</v>
      </c>
      <c r="C243" s="123" t="s">
        <v>36</v>
      </c>
      <c r="D243" s="124"/>
      <c r="E243" s="63" t="s">
        <v>37</v>
      </c>
      <c r="F243" s="222" t="s">
        <v>38</v>
      </c>
      <c r="G243" s="223"/>
      <c r="H243" s="151"/>
    </row>
    <row r="244" spans="2:8" s="43" customFormat="1" x14ac:dyDescent="0.3">
      <c r="B244" s="40" t="s">
        <v>49</v>
      </c>
      <c r="C244" s="41">
        <v>38</v>
      </c>
      <c r="D244" s="125" t="str">
        <f xml:space="preserve"> IF(C244="","",setValueToTime(C244))</f>
        <v>3h 10 min</v>
      </c>
      <c r="E244" s="42"/>
      <c r="F244" s="175"/>
      <c r="G244" s="176"/>
      <c r="H244" s="152"/>
    </row>
    <row r="245" spans="2:8" s="43" customFormat="1" x14ac:dyDescent="0.3">
      <c r="B245" s="44" t="s">
        <v>44</v>
      </c>
      <c r="C245" s="45">
        <v>10</v>
      </c>
      <c r="D245" s="126" t="str">
        <f t="shared" ref="D245:D251" si="22" xml:space="preserve"> IF(C245="","",setValueToTime(C245))</f>
        <v xml:space="preserve"> 50 min</v>
      </c>
      <c r="E245" s="46"/>
      <c r="F245" s="177"/>
      <c r="G245" s="178"/>
      <c r="H245" s="152"/>
    </row>
    <row r="246" spans="2:8" s="43" customFormat="1" x14ac:dyDescent="0.3">
      <c r="B246" s="44"/>
      <c r="C246" s="45"/>
      <c r="D246" s="126" t="str">
        <f t="shared" si="22"/>
        <v/>
      </c>
      <c r="E246" s="46"/>
      <c r="F246" s="177"/>
      <c r="G246" s="178"/>
      <c r="H246" s="152"/>
    </row>
    <row r="247" spans="2:8" s="43" customFormat="1" x14ac:dyDescent="0.3">
      <c r="B247" s="44"/>
      <c r="C247" s="45"/>
      <c r="D247" s="126" t="str">
        <f t="shared" si="22"/>
        <v/>
      </c>
      <c r="E247" s="46"/>
      <c r="F247" s="177"/>
      <c r="G247" s="178"/>
      <c r="H247" s="152"/>
    </row>
    <row r="248" spans="2:8" s="43" customFormat="1" x14ac:dyDescent="0.3">
      <c r="B248" s="44"/>
      <c r="C248" s="45"/>
      <c r="D248" s="127" t="str">
        <f t="shared" si="22"/>
        <v/>
      </c>
      <c r="E248" s="46"/>
      <c r="F248" s="177"/>
      <c r="G248" s="178"/>
      <c r="H248" s="152"/>
    </row>
    <row r="249" spans="2:8" s="43" customFormat="1" x14ac:dyDescent="0.3">
      <c r="B249" s="44"/>
      <c r="C249" s="45"/>
      <c r="D249" s="127" t="str">
        <f t="shared" si="22"/>
        <v/>
      </c>
      <c r="E249" s="46"/>
      <c r="F249" s="177"/>
      <c r="G249" s="178"/>
      <c r="H249" s="152"/>
    </row>
    <row r="250" spans="2:8" s="43" customFormat="1" x14ac:dyDescent="0.3">
      <c r="B250" s="44"/>
      <c r="C250" s="45"/>
      <c r="D250" s="127" t="str">
        <f t="shared" si="22"/>
        <v/>
      </c>
      <c r="E250" s="46"/>
      <c r="F250" s="177"/>
      <c r="G250" s="178"/>
      <c r="H250" s="152"/>
    </row>
    <row r="251" spans="2:8" s="43" customFormat="1" ht="15" thickBot="1" x14ac:dyDescent="0.35">
      <c r="B251" s="44"/>
      <c r="C251" s="47"/>
      <c r="D251" s="128" t="str">
        <f t="shared" si="22"/>
        <v/>
      </c>
      <c r="E251" s="48"/>
      <c r="F251" s="181"/>
      <c r="G251" s="182"/>
      <c r="H251" s="152"/>
    </row>
    <row r="252" spans="2:8" s="43" customFormat="1" ht="15" thickBot="1" x14ac:dyDescent="0.35">
      <c r="B252" s="86" t="s">
        <v>40</v>
      </c>
      <c r="C252" s="67">
        <f>SUM(C244:C251)</f>
        <v>48</v>
      </c>
      <c r="D252" s="86" t="str">
        <f xml:space="preserve"> setValueToTime(C252)</f>
        <v>4h</v>
      </c>
      <c r="E252" s="95"/>
      <c r="F252" s="224"/>
      <c r="G252" s="225"/>
      <c r="H252" s="152"/>
    </row>
    <row r="253" spans="2:8" s="43" customFormat="1" ht="15" thickBot="1" x14ac:dyDescent="0.35">
      <c r="B253" s="62"/>
      <c r="C253" s="62"/>
      <c r="D253" s="62"/>
      <c r="E253" s="62"/>
      <c r="F253" s="62"/>
      <c r="G253" s="62"/>
      <c r="H253" s="152"/>
    </row>
    <row r="254" spans="2:8" s="39" customFormat="1" ht="30" customHeight="1" thickBot="1" x14ac:dyDescent="0.3">
      <c r="B254" s="64" t="s">
        <v>33</v>
      </c>
      <c r="C254" s="136">
        <v>6</v>
      </c>
      <c r="D254" s="136"/>
      <c r="E254" s="65" t="s">
        <v>34</v>
      </c>
      <c r="F254" s="77">
        <v>46149</v>
      </c>
      <c r="G254" s="101" t="s">
        <v>76</v>
      </c>
      <c r="H254" s="151"/>
    </row>
    <row r="255" spans="2:8" s="39" customFormat="1" ht="30" customHeight="1" thickBot="1" x14ac:dyDescent="0.3">
      <c r="B255" s="63" t="s">
        <v>35</v>
      </c>
      <c r="C255" s="123" t="s">
        <v>36</v>
      </c>
      <c r="D255" s="124"/>
      <c r="E255" s="63" t="s">
        <v>37</v>
      </c>
      <c r="F255" s="222" t="s">
        <v>38</v>
      </c>
      <c r="G255" s="223"/>
      <c r="H255" s="151"/>
    </row>
    <row r="256" spans="2:8" s="43" customFormat="1" x14ac:dyDescent="0.3">
      <c r="B256" s="40" t="s">
        <v>47</v>
      </c>
      <c r="C256" s="41">
        <v>35</v>
      </c>
      <c r="D256" s="125" t="str">
        <f xml:space="preserve"> IF(C256="","",setValueToTime(C256))</f>
        <v>2h 55 min</v>
      </c>
      <c r="E256" s="42"/>
      <c r="F256" s="175"/>
      <c r="G256" s="176"/>
      <c r="H256" s="152"/>
    </row>
    <row r="257" spans="2:8" s="43" customFormat="1" x14ac:dyDescent="0.3">
      <c r="B257" s="44" t="s">
        <v>29</v>
      </c>
      <c r="C257" s="45">
        <v>3</v>
      </c>
      <c r="D257" s="126" t="str">
        <f t="shared" ref="D257:D263" si="23" xml:space="preserve"> IF(C257="","",setValueToTime(C257))</f>
        <v xml:space="preserve"> 15 min</v>
      </c>
      <c r="E257" s="46"/>
      <c r="F257" s="177"/>
      <c r="G257" s="178"/>
      <c r="H257" s="152"/>
    </row>
    <row r="258" spans="2:8" s="43" customFormat="1" x14ac:dyDescent="0.3">
      <c r="B258" s="44"/>
      <c r="C258" s="45"/>
      <c r="D258" s="126" t="str">
        <f t="shared" si="23"/>
        <v/>
      </c>
      <c r="E258" s="46"/>
      <c r="F258" s="177"/>
      <c r="G258" s="178"/>
      <c r="H258" s="152"/>
    </row>
    <row r="259" spans="2:8" s="43" customFormat="1" x14ac:dyDescent="0.3">
      <c r="B259" s="44"/>
      <c r="C259" s="45"/>
      <c r="D259" s="126" t="str">
        <f t="shared" si="23"/>
        <v/>
      </c>
      <c r="E259" s="46"/>
      <c r="F259" s="177"/>
      <c r="G259" s="178"/>
      <c r="H259" s="152"/>
    </row>
    <row r="260" spans="2:8" s="43" customFormat="1" x14ac:dyDescent="0.3">
      <c r="B260" s="44"/>
      <c r="C260" s="45"/>
      <c r="D260" s="127" t="str">
        <f t="shared" si="23"/>
        <v/>
      </c>
      <c r="E260" s="46"/>
      <c r="F260" s="177"/>
      <c r="G260" s="178"/>
      <c r="H260" s="152"/>
    </row>
    <row r="261" spans="2:8" s="43" customFormat="1" x14ac:dyDescent="0.3">
      <c r="B261" s="44"/>
      <c r="C261" s="45"/>
      <c r="D261" s="127" t="str">
        <f t="shared" si="23"/>
        <v/>
      </c>
      <c r="E261" s="46"/>
      <c r="F261" s="177"/>
      <c r="G261" s="178"/>
      <c r="H261" s="152"/>
    </row>
    <row r="262" spans="2:8" s="43" customFormat="1" x14ac:dyDescent="0.3">
      <c r="B262" s="44"/>
      <c r="C262" s="45"/>
      <c r="D262" s="127" t="str">
        <f t="shared" si="23"/>
        <v/>
      </c>
      <c r="E262" s="46"/>
      <c r="F262" s="177"/>
      <c r="G262" s="178"/>
      <c r="H262" s="152"/>
    </row>
    <row r="263" spans="2:8" s="43" customFormat="1" ht="15" thickBot="1" x14ac:dyDescent="0.35">
      <c r="B263" s="44"/>
      <c r="C263" s="47"/>
      <c r="D263" s="128" t="str">
        <f t="shared" si="23"/>
        <v/>
      </c>
      <c r="E263" s="48"/>
      <c r="F263" s="181"/>
      <c r="G263" s="182"/>
      <c r="H263" s="152"/>
    </row>
    <row r="264" spans="2:8" s="43" customFormat="1" ht="15" thickBot="1" x14ac:dyDescent="0.35">
      <c r="B264" s="86" t="s">
        <v>40</v>
      </c>
      <c r="C264" s="67">
        <f>SUM(C256:C263)</f>
        <v>38</v>
      </c>
      <c r="D264" s="86" t="str">
        <f xml:space="preserve"> setValueToTime(C264)</f>
        <v>3h 10 min</v>
      </c>
      <c r="E264" s="95"/>
      <c r="F264" s="224"/>
      <c r="G264" s="225"/>
      <c r="H264" s="152"/>
    </row>
    <row r="265" spans="2:8" s="43" customFormat="1" ht="15" thickBot="1" x14ac:dyDescent="0.35">
      <c r="B265" s="62"/>
      <c r="C265" s="62"/>
      <c r="D265" s="62"/>
      <c r="E265" s="62"/>
      <c r="F265" s="62"/>
      <c r="G265" s="62"/>
      <c r="H265" s="152"/>
    </row>
    <row r="266" spans="2:8" s="39" customFormat="1" ht="30" customHeight="1" thickBot="1" x14ac:dyDescent="0.3">
      <c r="B266" s="64" t="s">
        <v>33</v>
      </c>
      <c r="C266" s="136">
        <v>5</v>
      </c>
      <c r="D266" s="136"/>
      <c r="E266" s="65" t="s">
        <v>34</v>
      </c>
      <c r="F266" s="77">
        <v>46149</v>
      </c>
      <c r="G266" s="101" t="s">
        <v>77</v>
      </c>
      <c r="H266" s="151"/>
    </row>
    <row r="267" spans="2:8" s="39" customFormat="1" ht="30" customHeight="1" thickBot="1" x14ac:dyDescent="0.3">
      <c r="B267" s="63" t="s">
        <v>35</v>
      </c>
      <c r="C267" s="123" t="s">
        <v>36</v>
      </c>
      <c r="D267" s="124"/>
      <c r="E267" s="63" t="s">
        <v>37</v>
      </c>
      <c r="F267" s="222" t="s">
        <v>38</v>
      </c>
      <c r="G267" s="223"/>
      <c r="H267" s="151"/>
    </row>
    <row r="268" spans="2:8" s="43" customFormat="1" x14ac:dyDescent="0.3">
      <c r="B268" s="40" t="s">
        <v>30</v>
      </c>
      <c r="C268" s="41">
        <v>10</v>
      </c>
      <c r="D268" s="125" t="str">
        <f xml:space="preserve"> IF(C268="","",setValueToTime(C268))</f>
        <v xml:space="preserve"> 50 min</v>
      </c>
      <c r="E268" s="42"/>
      <c r="F268" s="175"/>
      <c r="G268" s="176"/>
      <c r="H268" s="152"/>
    </row>
    <row r="269" spans="2:8" s="43" customFormat="1" ht="27" x14ac:dyDescent="0.3">
      <c r="B269" s="44" t="s">
        <v>50</v>
      </c>
      <c r="C269" s="45">
        <v>6</v>
      </c>
      <c r="D269" s="126" t="str">
        <f t="shared" ref="D269:D275" si="24" xml:space="preserve"> IF(C269="","",setValueToTime(C269))</f>
        <v xml:space="preserve"> 30 min</v>
      </c>
      <c r="E269" s="46"/>
      <c r="F269" s="177"/>
      <c r="G269" s="178"/>
      <c r="H269" s="152"/>
    </row>
    <row r="270" spans="2:8" s="43" customFormat="1" x14ac:dyDescent="0.3">
      <c r="B270" s="44" t="s">
        <v>51</v>
      </c>
      <c r="C270" s="45">
        <v>18</v>
      </c>
      <c r="D270" s="126" t="str">
        <f t="shared" si="24"/>
        <v>1h 30 min</v>
      </c>
      <c r="E270" s="46"/>
      <c r="F270" s="177"/>
      <c r="G270" s="178"/>
      <c r="H270" s="152"/>
    </row>
    <row r="271" spans="2:8" s="43" customFormat="1" x14ac:dyDescent="0.3">
      <c r="B271" s="44" t="s">
        <v>47</v>
      </c>
      <c r="C271" s="45">
        <v>14</v>
      </c>
      <c r="D271" s="126" t="str">
        <f t="shared" si="24"/>
        <v>1h 10 min</v>
      </c>
      <c r="E271" s="46"/>
      <c r="F271" s="177"/>
      <c r="G271" s="178"/>
      <c r="H271" s="152"/>
    </row>
    <row r="272" spans="2:8" s="43" customFormat="1" x14ac:dyDescent="0.3">
      <c r="B272" s="44"/>
      <c r="C272" s="45"/>
      <c r="D272" s="127" t="str">
        <f t="shared" si="24"/>
        <v/>
      </c>
      <c r="E272" s="46"/>
      <c r="F272" s="177"/>
      <c r="G272" s="178"/>
      <c r="H272" s="152"/>
    </row>
    <row r="273" spans="2:8" s="43" customFormat="1" x14ac:dyDescent="0.3">
      <c r="B273" s="44"/>
      <c r="C273" s="45"/>
      <c r="D273" s="127" t="str">
        <f t="shared" si="24"/>
        <v/>
      </c>
      <c r="E273" s="46"/>
      <c r="F273" s="177"/>
      <c r="G273" s="178"/>
      <c r="H273" s="152"/>
    </row>
    <row r="274" spans="2:8" s="43" customFormat="1" x14ac:dyDescent="0.3">
      <c r="B274" s="44"/>
      <c r="C274" s="45"/>
      <c r="D274" s="127" t="str">
        <f t="shared" si="24"/>
        <v/>
      </c>
      <c r="E274" s="46"/>
      <c r="F274" s="177"/>
      <c r="G274" s="178"/>
      <c r="H274" s="152"/>
    </row>
    <row r="275" spans="2:8" s="43" customFormat="1" ht="15" thickBot="1" x14ac:dyDescent="0.35">
      <c r="B275" s="44"/>
      <c r="C275" s="47"/>
      <c r="D275" s="128" t="str">
        <f t="shared" si="24"/>
        <v/>
      </c>
      <c r="E275" s="48"/>
      <c r="F275" s="181"/>
      <c r="G275" s="182"/>
      <c r="H275" s="152"/>
    </row>
    <row r="276" spans="2:8" s="43" customFormat="1" ht="15" thickBot="1" x14ac:dyDescent="0.35">
      <c r="B276" s="86" t="s">
        <v>40</v>
      </c>
      <c r="C276" s="67">
        <f>SUM(C268:C275)</f>
        <v>48</v>
      </c>
      <c r="D276" s="86" t="str">
        <f xml:space="preserve"> setValueToTime(C276)</f>
        <v>4h</v>
      </c>
      <c r="E276" s="95"/>
      <c r="F276" s="224"/>
      <c r="G276" s="225"/>
      <c r="H276" s="152"/>
    </row>
    <row r="277" spans="2:8" s="43" customFormat="1" ht="15" thickBot="1" x14ac:dyDescent="0.35">
      <c r="B277" s="62"/>
      <c r="C277" s="62"/>
      <c r="D277" s="62"/>
      <c r="E277" s="62"/>
      <c r="F277" s="62"/>
      <c r="G277" s="62"/>
      <c r="H277" s="152"/>
    </row>
    <row r="278" spans="2:8" s="39" customFormat="1" ht="30" customHeight="1" thickBot="1" x14ac:dyDescent="0.3">
      <c r="B278" s="64" t="s">
        <v>33</v>
      </c>
      <c r="C278" s="136">
        <v>4</v>
      </c>
      <c r="D278" s="136"/>
      <c r="E278" s="65" t="s">
        <v>34</v>
      </c>
      <c r="F278" s="77">
        <v>46148</v>
      </c>
      <c r="G278" s="101" t="s">
        <v>76</v>
      </c>
      <c r="H278" s="151"/>
    </row>
    <row r="279" spans="2:8" s="39" customFormat="1" ht="30" customHeight="1" thickBot="1" x14ac:dyDescent="0.3">
      <c r="B279" s="63" t="s">
        <v>35</v>
      </c>
      <c r="C279" s="123" t="s">
        <v>36</v>
      </c>
      <c r="D279" s="124"/>
      <c r="E279" s="63" t="s">
        <v>37</v>
      </c>
      <c r="F279" s="222" t="s">
        <v>38</v>
      </c>
      <c r="G279" s="223"/>
      <c r="H279" s="151"/>
    </row>
    <row r="280" spans="2:8" s="43" customFormat="1" ht="27" x14ac:dyDescent="0.3">
      <c r="B280" s="40" t="s">
        <v>73</v>
      </c>
      <c r="C280" s="41">
        <v>35</v>
      </c>
      <c r="D280" s="125" t="str">
        <f xml:space="preserve"> IF(C280="","",setValueToTime(C280))</f>
        <v>2h 55 min</v>
      </c>
      <c r="E280" s="42"/>
      <c r="F280" s="175"/>
      <c r="G280" s="176"/>
      <c r="H280" s="152"/>
    </row>
    <row r="281" spans="2:8" s="43" customFormat="1" x14ac:dyDescent="0.3">
      <c r="B281" s="44" t="s">
        <v>29</v>
      </c>
      <c r="C281" s="45">
        <v>3</v>
      </c>
      <c r="D281" s="126" t="str">
        <f t="shared" ref="D281:D287" si="25" xml:space="preserve"> IF(C281="","",setValueToTime(C281))</f>
        <v xml:space="preserve"> 15 min</v>
      </c>
      <c r="E281" s="46"/>
      <c r="F281" s="177"/>
      <c r="G281" s="178"/>
      <c r="H281" s="152"/>
    </row>
    <row r="282" spans="2:8" s="43" customFormat="1" x14ac:dyDescent="0.3">
      <c r="B282" s="44"/>
      <c r="C282" s="45"/>
      <c r="D282" s="126" t="str">
        <f t="shared" si="25"/>
        <v/>
      </c>
      <c r="E282" s="46"/>
      <c r="F282" s="177"/>
      <c r="G282" s="178"/>
      <c r="H282" s="152"/>
    </row>
    <row r="283" spans="2:8" s="43" customFormat="1" x14ac:dyDescent="0.3">
      <c r="B283" s="44"/>
      <c r="C283" s="45"/>
      <c r="D283" s="126" t="str">
        <f t="shared" si="25"/>
        <v/>
      </c>
      <c r="E283" s="46"/>
      <c r="F283" s="177"/>
      <c r="G283" s="178"/>
      <c r="H283" s="152"/>
    </row>
    <row r="284" spans="2:8" s="43" customFormat="1" x14ac:dyDescent="0.3">
      <c r="B284" s="44"/>
      <c r="C284" s="45"/>
      <c r="D284" s="127" t="str">
        <f t="shared" si="25"/>
        <v/>
      </c>
      <c r="E284" s="46"/>
      <c r="F284" s="177"/>
      <c r="G284" s="178"/>
      <c r="H284" s="152"/>
    </row>
    <row r="285" spans="2:8" s="43" customFormat="1" x14ac:dyDescent="0.3">
      <c r="B285" s="44"/>
      <c r="C285" s="45"/>
      <c r="D285" s="127" t="str">
        <f t="shared" si="25"/>
        <v/>
      </c>
      <c r="E285" s="46"/>
      <c r="F285" s="177"/>
      <c r="G285" s="178"/>
      <c r="H285" s="152"/>
    </row>
    <row r="286" spans="2:8" s="43" customFormat="1" x14ac:dyDescent="0.3">
      <c r="B286" s="44"/>
      <c r="C286" s="45"/>
      <c r="D286" s="127" t="str">
        <f t="shared" si="25"/>
        <v/>
      </c>
      <c r="E286" s="46"/>
      <c r="F286" s="177"/>
      <c r="G286" s="178"/>
      <c r="H286" s="152"/>
    </row>
    <row r="287" spans="2:8" s="43" customFormat="1" ht="15" thickBot="1" x14ac:dyDescent="0.35">
      <c r="B287" s="44"/>
      <c r="C287" s="47"/>
      <c r="D287" s="128" t="str">
        <f t="shared" si="25"/>
        <v/>
      </c>
      <c r="E287" s="48"/>
      <c r="F287" s="181"/>
      <c r="G287" s="182"/>
      <c r="H287" s="152"/>
    </row>
    <row r="288" spans="2:8" s="43" customFormat="1" ht="15" thickBot="1" x14ac:dyDescent="0.35">
      <c r="B288" s="86" t="s">
        <v>40</v>
      </c>
      <c r="C288" s="67">
        <f>SUM(C280:C287)</f>
        <v>38</v>
      </c>
      <c r="D288" s="86" t="str">
        <f xml:space="preserve"> setValueToTime(C288)</f>
        <v>3h 10 min</v>
      </c>
      <c r="E288" s="95"/>
      <c r="F288" s="224"/>
      <c r="G288" s="225"/>
      <c r="H288" s="152"/>
    </row>
    <row r="289" spans="2:8" s="43" customFormat="1" ht="15" thickBot="1" x14ac:dyDescent="0.35">
      <c r="B289" s="62"/>
      <c r="C289" s="62"/>
      <c r="D289" s="62"/>
      <c r="E289" s="62"/>
      <c r="F289" s="62"/>
      <c r="G289" s="62"/>
      <c r="H289" s="152"/>
    </row>
    <row r="290" spans="2:8" s="39" customFormat="1" ht="30" customHeight="1" thickBot="1" x14ac:dyDescent="0.3">
      <c r="B290" s="64" t="s">
        <v>33</v>
      </c>
      <c r="C290" s="136">
        <v>3</v>
      </c>
      <c r="D290" s="136"/>
      <c r="E290" s="65" t="s">
        <v>34</v>
      </c>
      <c r="F290" s="77">
        <v>46148</v>
      </c>
      <c r="G290" s="101" t="s">
        <v>77</v>
      </c>
      <c r="H290" s="151"/>
    </row>
    <row r="291" spans="2:8" s="39" customFormat="1" ht="30" customHeight="1" thickBot="1" x14ac:dyDescent="0.3">
      <c r="B291" s="63" t="s">
        <v>35</v>
      </c>
      <c r="C291" s="123" t="s">
        <v>36</v>
      </c>
      <c r="D291" s="124"/>
      <c r="E291" s="63" t="s">
        <v>37</v>
      </c>
      <c r="F291" s="222" t="s">
        <v>38</v>
      </c>
      <c r="G291" s="223"/>
      <c r="H291" s="151"/>
    </row>
    <row r="292" spans="2:8" s="43" customFormat="1" x14ac:dyDescent="0.3">
      <c r="B292" s="40" t="s">
        <v>30</v>
      </c>
      <c r="C292" s="41">
        <v>12</v>
      </c>
      <c r="D292" s="125" t="str">
        <f xml:space="preserve"> IF(C292="","",setValueToTime(C292))</f>
        <v>1h</v>
      </c>
      <c r="E292" s="42"/>
      <c r="F292" s="175"/>
      <c r="G292" s="176"/>
      <c r="H292" s="152"/>
    </row>
    <row r="293" spans="2:8" s="43" customFormat="1" x14ac:dyDescent="0.3">
      <c r="B293" s="44" t="s">
        <v>43</v>
      </c>
      <c r="C293" s="45">
        <v>27</v>
      </c>
      <c r="D293" s="126" t="str">
        <f t="shared" ref="D293:D299" si="26" xml:space="preserve"> IF(C293="","",setValueToTime(C293))</f>
        <v>2h 15 min</v>
      </c>
      <c r="E293" s="46"/>
      <c r="F293" s="177"/>
      <c r="G293" s="178"/>
      <c r="H293" s="152"/>
    </row>
    <row r="294" spans="2:8" s="43" customFormat="1" ht="27" x14ac:dyDescent="0.3">
      <c r="B294" s="44" t="s">
        <v>73</v>
      </c>
      <c r="C294" s="45">
        <v>9</v>
      </c>
      <c r="D294" s="126" t="str">
        <f t="shared" si="26"/>
        <v xml:space="preserve"> 45 min</v>
      </c>
      <c r="E294" s="46"/>
      <c r="F294" s="177"/>
      <c r="G294" s="178"/>
      <c r="H294" s="152"/>
    </row>
    <row r="295" spans="2:8" s="43" customFormat="1" x14ac:dyDescent="0.3">
      <c r="B295" s="44"/>
      <c r="C295" s="45"/>
      <c r="D295" s="126" t="str">
        <f t="shared" si="26"/>
        <v/>
      </c>
      <c r="E295" s="46"/>
      <c r="F295" s="177"/>
      <c r="G295" s="178"/>
      <c r="H295" s="152"/>
    </row>
    <row r="296" spans="2:8" s="43" customFormat="1" x14ac:dyDescent="0.3">
      <c r="B296" s="44"/>
      <c r="C296" s="45"/>
      <c r="D296" s="127" t="str">
        <f t="shared" si="26"/>
        <v/>
      </c>
      <c r="E296" s="46"/>
      <c r="F296" s="177"/>
      <c r="G296" s="178"/>
      <c r="H296" s="152"/>
    </row>
    <row r="297" spans="2:8" s="43" customFormat="1" x14ac:dyDescent="0.3">
      <c r="B297" s="44"/>
      <c r="C297" s="45"/>
      <c r="D297" s="127" t="str">
        <f t="shared" si="26"/>
        <v/>
      </c>
      <c r="E297" s="46"/>
      <c r="F297" s="177"/>
      <c r="G297" s="178"/>
      <c r="H297" s="152"/>
    </row>
    <row r="298" spans="2:8" s="43" customFormat="1" x14ac:dyDescent="0.3">
      <c r="B298" s="44"/>
      <c r="C298" s="45"/>
      <c r="D298" s="127" t="str">
        <f t="shared" si="26"/>
        <v/>
      </c>
      <c r="E298" s="46"/>
      <c r="F298" s="177"/>
      <c r="G298" s="178"/>
      <c r="H298" s="152"/>
    </row>
    <row r="299" spans="2:8" s="43" customFormat="1" ht="15" thickBot="1" x14ac:dyDescent="0.35">
      <c r="B299" s="44"/>
      <c r="C299" s="47"/>
      <c r="D299" s="128" t="str">
        <f t="shared" si="26"/>
        <v/>
      </c>
      <c r="E299" s="48"/>
      <c r="F299" s="181"/>
      <c r="G299" s="182"/>
      <c r="H299" s="152"/>
    </row>
    <row r="300" spans="2:8" s="43" customFormat="1" ht="15" thickBot="1" x14ac:dyDescent="0.35">
      <c r="B300" s="86" t="s">
        <v>40</v>
      </c>
      <c r="C300" s="67">
        <f>SUM(C292:C299)</f>
        <v>48</v>
      </c>
      <c r="D300" s="86" t="str">
        <f xml:space="preserve"> setValueToTime(C300)</f>
        <v>4h</v>
      </c>
      <c r="E300" s="95"/>
      <c r="F300" s="224"/>
      <c r="G300" s="225"/>
      <c r="H300" s="152"/>
    </row>
    <row r="301" spans="2:8" s="43" customFormat="1" ht="15" thickBot="1" x14ac:dyDescent="0.35">
      <c r="B301" s="62"/>
      <c r="C301" s="62"/>
      <c r="D301" s="62"/>
      <c r="E301" s="62"/>
      <c r="F301" s="62"/>
      <c r="G301" s="62"/>
      <c r="H301" s="152"/>
    </row>
    <row r="302" spans="2:8" s="39" customFormat="1" ht="30" customHeight="1" thickBot="1" x14ac:dyDescent="0.3">
      <c r="B302" s="64" t="s">
        <v>33</v>
      </c>
      <c r="C302" s="136">
        <v>2</v>
      </c>
      <c r="D302" s="136"/>
      <c r="E302" s="65" t="s">
        <v>34</v>
      </c>
      <c r="F302" s="77">
        <v>46146</v>
      </c>
      <c r="G302" s="101" t="s">
        <v>76</v>
      </c>
      <c r="H302" s="151"/>
    </row>
    <row r="303" spans="2:8" s="39" customFormat="1" ht="30" customHeight="1" thickBot="1" x14ac:dyDescent="0.3">
      <c r="B303" s="63" t="s">
        <v>35</v>
      </c>
      <c r="C303" s="123" t="s">
        <v>36</v>
      </c>
      <c r="D303" s="124"/>
      <c r="E303" s="63" t="s">
        <v>37</v>
      </c>
      <c r="F303" s="222" t="s">
        <v>38</v>
      </c>
      <c r="G303" s="223"/>
      <c r="H303" s="151"/>
    </row>
    <row r="304" spans="2:8" s="43" customFormat="1" x14ac:dyDescent="0.3">
      <c r="B304" s="40" t="s">
        <v>28</v>
      </c>
      <c r="C304" s="41">
        <v>23</v>
      </c>
      <c r="D304" s="125" t="str">
        <f xml:space="preserve"> IF(C304="","",setValueToTime(C304))</f>
        <v>1h 55 min</v>
      </c>
      <c r="E304" s="42"/>
      <c r="F304" s="175"/>
      <c r="G304" s="176"/>
      <c r="H304" s="152"/>
    </row>
    <row r="305" spans="2:8" s="43" customFormat="1" x14ac:dyDescent="0.3">
      <c r="B305" s="44" t="s">
        <v>60</v>
      </c>
      <c r="C305" s="45">
        <v>4</v>
      </c>
      <c r="D305" s="126" t="str">
        <f t="shared" ref="D305:D311" si="27" xml:space="preserve"> IF(C305="","",setValueToTime(C305))</f>
        <v xml:space="preserve"> 20 min</v>
      </c>
      <c r="E305" s="46"/>
      <c r="F305" s="177"/>
      <c r="G305" s="178"/>
      <c r="H305" s="152"/>
    </row>
    <row r="306" spans="2:8" s="43" customFormat="1" x14ac:dyDescent="0.3">
      <c r="B306" s="44" t="s">
        <v>29</v>
      </c>
      <c r="C306" s="45">
        <v>2</v>
      </c>
      <c r="D306" s="126" t="str">
        <f t="shared" si="27"/>
        <v xml:space="preserve"> 10 min</v>
      </c>
      <c r="E306" s="46"/>
      <c r="F306" s="177"/>
      <c r="G306" s="178"/>
      <c r="H306" s="152"/>
    </row>
    <row r="307" spans="2:8" s="43" customFormat="1" x14ac:dyDescent="0.3">
      <c r="B307" s="44"/>
      <c r="C307" s="45"/>
      <c r="D307" s="126" t="str">
        <f t="shared" si="27"/>
        <v/>
      </c>
      <c r="E307" s="46"/>
      <c r="F307" s="177"/>
      <c r="G307" s="178"/>
      <c r="H307" s="152"/>
    </row>
    <row r="308" spans="2:8" s="43" customFormat="1" x14ac:dyDescent="0.3">
      <c r="B308" s="44"/>
      <c r="C308" s="45"/>
      <c r="D308" s="127" t="str">
        <f t="shared" si="27"/>
        <v/>
      </c>
      <c r="E308" s="46"/>
      <c r="F308" s="177"/>
      <c r="G308" s="178"/>
      <c r="H308" s="152"/>
    </row>
    <row r="309" spans="2:8" s="43" customFormat="1" x14ac:dyDescent="0.3">
      <c r="B309" s="44"/>
      <c r="C309" s="45"/>
      <c r="D309" s="127" t="str">
        <f t="shared" si="27"/>
        <v/>
      </c>
      <c r="E309" s="46"/>
      <c r="F309" s="177"/>
      <c r="G309" s="178"/>
      <c r="H309" s="152"/>
    </row>
    <row r="310" spans="2:8" s="43" customFormat="1" x14ac:dyDescent="0.3">
      <c r="B310" s="44"/>
      <c r="C310" s="45"/>
      <c r="D310" s="127" t="str">
        <f t="shared" si="27"/>
        <v/>
      </c>
      <c r="E310" s="46"/>
      <c r="F310" s="177"/>
      <c r="G310" s="178"/>
      <c r="H310" s="152"/>
    </row>
    <row r="311" spans="2:8" s="43" customFormat="1" ht="15" thickBot="1" x14ac:dyDescent="0.35">
      <c r="B311" s="44"/>
      <c r="C311" s="47"/>
      <c r="D311" s="128" t="str">
        <f t="shared" si="27"/>
        <v/>
      </c>
      <c r="E311" s="48"/>
      <c r="F311" s="181"/>
      <c r="G311" s="182"/>
      <c r="H311" s="152"/>
    </row>
    <row r="312" spans="2:8" s="43" customFormat="1" ht="15" thickBot="1" x14ac:dyDescent="0.35">
      <c r="B312" s="86" t="s">
        <v>40</v>
      </c>
      <c r="C312" s="67">
        <f>SUM(C304:C311)</f>
        <v>29</v>
      </c>
      <c r="D312" s="86" t="str">
        <f xml:space="preserve"> setValueToTime(C312)</f>
        <v>2h 25 min</v>
      </c>
      <c r="E312" s="95"/>
      <c r="F312" s="224"/>
      <c r="G312" s="225"/>
      <c r="H312" s="152"/>
    </row>
    <row r="313" spans="2:8" s="43" customFormat="1" ht="15" thickBot="1" x14ac:dyDescent="0.35">
      <c r="B313" s="62"/>
      <c r="C313" s="62"/>
      <c r="D313" s="62"/>
      <c r="E313" s="62"/>
      <c r="F313" s="62"/>
      <c r="G313" s="62"/>
      <c r="H313" s="152"/>
    </row>
    <row r="314" spans="2:8" s="39" customFormat="1" ht="30" customHeight="1" thickBot="1" x14ac:dyDescent="0.3">
      <c r="B314" s="64" t="s">
        <v>33</v>
      </c>
      <c r="C314" s="136">
        <v>1</v>
      </c>
      <c r="D314" s="136"/>
      <c r="E314" s="65" t="s">
        <v>34</v>
      </c>
      <c r="F314" s="77">
        <v>46146</v>
      </c>
      <c r="G314" s="101" t="s">
        <v>77</v>
      </c>
      <c r="H314" s="151"/>
    </row>
    <row r="315" spans="2:8" s="39" customFormat="1" ht="30" customHeight="1" thickBot="1" x14ac:dyDescent="0.3">
      <c r="B315" s="63" t="s">
        <v>35</v>
      </c>
      <c r="C315" s="123" t="s">
        <v>36</v>
      </c>
      <c r="D315" s="124"/>
      <c r="E315" s="63" t="s">
        <v>37</v>
      </c>
      <c r="F315" s="222" t="s">
        <v>38</v>
      </c>
      <c r="G315" s="223"/>
      <c r="H315" s="151"/>
    </row>
    <row r="316" spans="2:8" s="43" customFormat="1" x14ac:dyDescent="0.3">
      <c r="B316" s="40" t="s">
        <v>61</v>
      </c>
      <c r="C316" s="41">
        <v>14</v>
      </c>
      <c r="D316" s="125" t="str">
        <f xml:space="preserve"> IF(C316="","",setValueToTime(C316))</f>
        <v>1h 10 min</v>
      </c>
      <c r="E316" s="42"/>
      <c r="F316" s="175"/>
      <c r="G316" s="176"/>
      <c r="H316" s="152"/>
    </row>
    <row r="317" spans="2:8" s="43" customFormat="1" x14ac:dyDescent="0.3">
      <c r="B317" s="44" t="s">
        <v>42</v>
      </c>
      <c r="C317" s="45">
        <v>6</v>
      </c>
      <c r="D317" s="126" t="str">
        <f t="shared" ref="D317:D323" si="28" xml:space="preserve"> IF(C317="","",setValueToTime(C317))</f>
        <v xml:space="preserve"> 30 min</v>
      </c>
      <c r="E317" s="46"/>
      <c r="F317" s="177"/>
      <c r="G317" s="178"/>
      <c r="H317" s="152"/>
    </row>
    <row r="318" spans="2:8" s="43" customFormat="1" x14ac:dyDescent="0.3">
      <c r="B318" s="44" t="s">
        <v>60</v>
      </c>
      <c r="C318" s="45">
        <v>2</v>
      </c>
      <c r="D318" s="126" t="str">
        <f t="shared" si="28"/>
        <v xml:space="preserve"> 10 min</v>
      </c>
      <c r="E318" s="46"/>
      <c r="F318" s="177"/>
      <c r="G318" s="178"/>
      <c r="H318" s="152"/>
    </row>
    <row r="319" spans="2:8" s="43" customFormat="1" x14ac:dyDescent="0.3">
      <c r="B319" s="44" t="s">
        <v>70</v>
      </c>
      <c r="C319" s="45">
        <v>2</v>
      </c>
      <c r="D319" s="127" t="str">
        <f t="shared" ref="D319" si="29" xml:space="preserve"> IF(C319="","",setValueToTime(C319))</f>
        <v xml:space="preserve"> 10 min</v>
      </c>
      <c r="E319" s="46"/>
      <c r="F319" s="177"/>
      <c r="G319" s="178"/>
      <c r="H319" s="152"/>
    </row>
    <row r="320" spans="2:8" s="43" customFormat="1" x14ac:dyDescent="0.3">
      <c r="B320" s="44" t="s">
        <v>28</v>
      </c>
      <c r="C320" s="45">
        <v>14</v>
      </c>
      <c r="D320" s="126" t="str">
        <f xml:space="preserve"> IF(C320="","",setValueToTime(C320))</f>
        <v>1h 10 min</v>
      </c>
      <c r="E320" s="46"/>
      <c r="F320" s="177"/>
      <c r="G320" s="178"/>
      <c r="H320" s="152"/>
    </row>
    <row r="321" spans="2:8" s="43" customFormat="1" x14ac:dyDescent="0.3">
      <c r="B321" s="44"/>
      <c r="C321" s="45"/>
      <c r="D321" s="126" t="str">
        <f xml:space="preserve"> IF(C321="","",setValueToTime(C321))</f>
        <v/>
      </c>
      <c r="E321" s="46"/>
      <c r="F321" s="177"/>
      <c r="G321" s="178"/>
      <c r="H321" s="152"/>
    </row>
    <row r="322" spans="2:8" s="43" customFormat="1" x14ac:dyDescent="0.3">
      <c r="B322" s="44"/>
      <c r="C322" s="45"/>
      <c r="D322" s="127" t="str">
        <f t="shared" si="28"/>
        <v/>
      </c>
      <c r="E322" s="46"/>
      <c r="F322" s="177"/>
      <c r="G322" s="178"/>
      <c r="H322" s="152"/>
    </row>
    <row r="323" spans="2:8" s="43" customFormat="1" ht="15" thickBot="1" x14ac:dyDescent="0.35">
      <c r="B323" s="44"/>
      <c r="C323" s="47"/>
      <c r="D323" s="128" t="str">
        <f t="shared" si="28"/>
        <v/>
      </c>
      <c r="E323" s="48"/>
      <c r="F323" s="181"/>
      <c r="G323" s="182"/>
      <c r="H323" s="152"/>
    </row>
    <row r="324" spans="2:8" s="43" customFormat="1" ht="15" thickBot="1" x14ac:dyDescent="0.35">
      <c r="B324" s="86" t="s">
        <v>40</v>
      </c>
      <c r="C324" s="67">
        <f>SUM(C316:C323)</f>
        <v>38</v>
      </c>
      <c r="D324" s="86" t="str">
        <f xml:space="preserve"> setValueToTime(C324)</f>
        <v>3h 10 min</v>
      </c>
      <c r="E324" s="95"/>
      <c r="F324" s="224"/>
      <c r="G324" s="225"/>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3D0D613-B5BC-4096-A83D-4B5E640B7740}">
      <formula1>0</formula1>
      <formula2>60</formula2>
    </dataValidation>
    <dataValidation type="whole" operator="greaterThan" allowBlank="1" showInputMessage="1" showErrorMessage="1" errorTitle="Durée par tranche de 10min" error="Le nombre doit être de type entier" sqref="C4:C11 C304:C311 C292:C299 C280:C287 C268:C275 C256:C263 C244:C251 C232:C239 C220:C227 C208:C215 C196:C203 C184:C191 C16:C23 C160:C167 C148:C155 C136:C143 C124:C131 C112:C119 C100:C107 C88:C95 C76:C83 C64:C71 C52:C59 C40:C47 C28:C35 C316:C323 C172:C179" xr:uid="{ABF7C03C-3E72-4183-8EA5-64B05177940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5"/>
  <sheetViews>
    <sheetView showGridLines="0" tabSelected="1" zoomScale="115" zoomScaleNormal="115" zoomScaleSheetLayoutView="98" workbookViewId="0">
      <pane ySplit="1" topLeftCell="A136" activePane="bottomLeft" state="frozen"/>
      <selection pane="bottomLeft" activeCell="C150" sqref="C150"/>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59.25" customHeight="1" thickBot="1" x14ac:dyDescent="0.35">
      <c r="B1" s="148"/>
      <c r="C1" s="148"/>
      <c r="D1" s="148"/>
      <c r="E1" s="148"/>
    </row>
    <row r="2" spans="2:8" s="39" customFormat="1" ht="30" customHeight="1" thickBot="1" x14ac:dyDescent="0.3">
      <c r="B2" s="129" t="s">
        <v>33</v>
      </c>
      <c r="C2" s="137">
        <v>27</v>
      </c>
      <c r="D2" s="137"/>
      <c r="E2" s="130" t="s">
        <v>34</v>
      </c>
      <c r="F2" s="131" t="s">
        <v>80</v>
      </c>
      <c r="G2" s="132" t="s">
        <v>75</v>
      </c>
      <c r="H2" s="151"/>
    </row>
    <row r="3" spans="2:8" s="39" customFormat="1" ht="30" customHeight="1" thickBot="1" x14ac:dyDescent="0.3">
      <c r="B3" s="61" t="s">
        <v>35</v>
      </c>
      <c r="C3" s="134" t="s">
        <v>36</v>
      </c>
      <c r="D3" s="133"/>
      <c r="E3" s="61" t="s">
        <v>37</v>
      </c>
      <c r="F3" s="173" t="s">
        <v>38</v>
      </c>
      <c r="G3" s="174"/>
      <c r="H3" s="151"/>
    </row>
    <row r="4" spans="2:8" s="43" customFormat="1" x14ac:dyDescent="0.3">
      <c r="B4" s="40"/>
      <c r="C4" s="41"/>
      <c r="D4" s="125" t="str">
        <f xml:space="preserve"> IF(C4="","",setValueToTime(C4))</f>
        <v/>
      </c>
      <c r="E4" s="42"/>
      <c r="F4" s="175"/>
      <c r="G4" s="176"/>
      <c r="H4" s="152"/>
    </row>
    <row r="5" spans="2:8" s="43" customFormat="1" x14ac:dyDescent="0.3">
      <c r="B5" s="44"/>
      <c r="C5" s="45"/>
      <c r="D5" s="126" t="str">
        <f t="shared" ref="D5:D11" si="0" xml:space="preserve"> IF(C5="","",setValueToTime(C5))</f>
        <v/>
      </c>
      <c r="E5" s="46"/>
      <c r="F5" s="177"/>
      <c r="G5" s="178"/>
      <c r="H5" s="152"/>
    </row>
    <row r="6" spans="2:8" s="43" customFormat="1" x14ac:dyDescent="0.3">
      <c r="B6" s="44"/>
      <c r="C6" s="45"/>
      <c r="D6" s="126" t="str">
        <f t="shared" si="0"/>
        <v/>
      </c>
      <c r="E6" s="46"/>
      <c r="F6" s="177"/>
      <c r="G6" s="178"/>
      <c r="H6" s="152"/>
    </row>
    <row r="7" spans="2:8" s="43" customFormat="1" x14ac:dyDescent="0.3">
      <c r="B7" s="44"/>
      <c r="C7" s="45"/>
      <c r="D7" s="126" t="str">
        <f t="shared" si="0"/>
        <v/>
      </c>
      <c r="E7" s="46"/>
      <c r="F7" s="177"/>
      <c r="G7" s="178"/>
      <c r="H7" s="152"/>
    </row>
    <row r="8" spans="2:8" s="43" customFormat="1" x14ac:dyDescent="0.3">
      <c r="B8" s="45"/>
      <c r="C8" s="45"/>
      <c r="D8" s="127" t="str">
        <f t="shared" si="0"/>
        <v/>
      </c>
      <c r="E8" s="46"/>
      <c r="F8" s="177"/>
      <c r="G8" s="178"/>
      <c r="H8" s="152"/>
    </row>
    <row r="9" spans="2:8" s="43" customFormat="1" x14ac:dyDescent="0.3">
      <c r="B9" s="45"/>
      <c r="C9" s="45"/>
      <c r="D9" s="127" t="str">
        <f t="shared" si="0"/>
        <v/>
      </c>
      <c r="E9" s="46"/>
      <c r="F9" s="177"/>
      <c r="G9" s="178"/>
      <c r="H9" s="152"/>
    </row>
    <row r="10" spans="2:8" s="43" customFormat="1" x14ac:dyDescent="0.3">
      <c r="B10" s="45"/>
      <c r="C10" s="45"/>
      <c r="D10" s="127" t="str">
        <f t="shared" si="0"/>
        <v/>
      </c>
      <c r="E10" s="46"/>
      <c r="F10" s="177"/>
      <c r="G10" s="178"/>
      <c r="H10" s="152"/>
    </row>
    <row r="11" spans="2:8" s="43" customFormat="1" ht="15" thickBot="1" x14ac:dyDescent="0.35">
      <c r="B11" s="47"/>
      <c r="C11" s="47"/>
      <c r="D11" s="128" t="str">
        <f t="shared" si="0"/>
        <v/>
      </c>
      <c r="E11" s="48"/>
      <c r="F11" s="181"/>
      <c r="G11" s="182"/>
      <c r="H11" s="152"/>
    </row>
    <row r="12" spans="2:8" s="43" customFormat="1" ht="15" thickBot="1" x14ac:dyDescent="0.35">
      <c r="B12" s="135" t="s">
        <v>40</v>
      </c>
      <c r="C12" s="66">
        <f>SUM(C4:C11)</f>
        <v>0</v>
      </c>
      <c r="D12" s="135" t="str">
        <f xml:space="preserve"> setValueToTime(C12)</f>
        <v/>
      </c>
      <c r="E12" s="96"/>
      <c r="F12" s="179"/>
      <c r="G12" s="180"/>
      <c r="H12" s="152"/>
    </row>
    <row r="13" spans="2:8" s="43" customFormat="1" ht="15" thickBot="1" x14ac:dyDescent="0.35">
      <c r="B13" s="60"/>
      <c r="C13" s="60"/>
      <c r="D13" s="60"/>
      <c r="E13" s="60"/>
      <c r="F13" s="60"/>
      <c r="G13" s="60"/>
      <c r="H13" s="152"/>
    </row>
    <row r="14" spans="2:8" s="39" customFormat="1" ht="30" customHeight="1" thickBot="1" x14ac:dyDescent="0.3">
      <c r="B14" s="129" t="s">
        <v>33</v>
      </c>
      <c r="C14" s="137">
        <v>26</v>
      </c>
      <c r="D14" s="137"/>
      <c r="E14" s="130" t="s">
        <v>34</v>
      </c>
      <c r="F14" s="131" t="s">
        <v>82</v>
      </c>
      <c r="G14" s="132" t="s">
        <v>76</v>
      </c>
      <c r="H14" s="151"/>
    </row>
    <row r="15" spans="2:8" s="39" customFormat="1" ht="30" customHeight="1" thickBot="1" x14ac:dyDescent="0.3">
      <c r="B15" s="61" t="s">
        <v>35</v>
      </c>
      <c r="C15" s="134" t="s">
        <v>36</v>
      </c>
      <c r="D15" s="133"/>
      <c r="E15" s="61" t="s">
        <v>37</v>
      </c>
      <c r="F15" s="173" t="s">
        <v>38</v>
      </c>
      <c r="G15" s="174"/>
      <c r="H15" s="151"/>
    </row>
    <row r="16" spans="2:8" s="43" customFormat="1" x14ac:dyDescent="0.3">
      <c r="B16" s="40"/>
      <c r="C16" s="41"/>
      <c r="D16" s="125" t="str">
        <f xml:space="preserve"> IF(C16="","",setValueToTime(C16))</f>
        <v/>
      </c>
      <c r="E16" s="42"/>
      <c r="F16" s="175"/>
      <c r="G16" s="176"/>
      <c r="H16" s="152"/>
    </row>
    <row r="17" spans="2:8" s="43" customFormat="1" x14ac:dyDescent="0.3">
      <c r="B17" s="44"/>
      <c r="C17" s="45"/>
      <c r="D17" s="126" t="str">
        <f t="shared" ref="D17:D23" si="1" xml:space="preserve"> IF(C17="","",setValueToTime(C17))</f>
        <v/>
      </c>
      <c r="E17" s="46"/>
      <c r="F17" s="177"/>
      <c r="G17" s="178"/>
      <c r="H17" s="152"/>
    </row>
    <row r="18" spans="2:8" s="43" customFormat="1" x14ac:dyDescent="0.3">
      <c r="B18" s="44"/>
      <c r="C18" s="45"/>
      <c r="D18" s="126" t="str">
        <f t="shared" si="1"/>
        <v/>
      </c>
      <c r="E18" s="46"/>
      <c r="F18" s="177"/>
      <c r="G18" s="178"/>
      <c r="H18" s="152"/>
    </row>
    <row r="19" spans="2:8" s="43" customFormat="1" x14ac:dyDescent="0.3">
      <c r="B19" s="44"/>
      <c r="C19" s="45"/>
      <c r="D19" s="126" t="str">
        <f t="shared" si="1"/>
        <v/>
      </c>
      <c r="E19" s="46"/>
      <c r="F19" s="177"/>
      <c r="G19" s="178"/>
      <c r="H19" s="152"/>
    </row>
    <row r="20" spans="2:8" s="43" customFormat="1" x14ac:dyDescent="0.3">
      <c r="B20" s="45"/>
      <c r="C20" s="45"/>
      <c r="D20" s="127" t="str">
        <f t="shared" si="1"/>
        <v/>
      </c>
      <c r="E20" s="46"/>
      <c r="F20" s="177"/>
      <c r="G20" s="178"/>
      <c r="H20" s="152"/>
    </row>
    <row r="21" spans="2:8" s="43" customFormat="1" x14ac:dyDescent="0.3">
      <c r="B21" s="45"/>
      <c r="C21" s="45"/>
      <c r="D21" s="127" t="str">
        <f t="shared" si="1"/>
        <v/>
      </c>
      <c r="E21" s="46"/>
      <c r="F21" s="177"/>
      <c r="G21" s="178"/>
      <c r="H21" s="152"/>
    </row>
    <row r="22" spans="2:8" s="43" customFormat="1" x14ac:dyDescent="0.3">
      <c r="B22" s="45"/>
      <c r="C22" s="45"/>
      <c r="D22" s="127" t="str">
        <f t="shared" si="1"/>
        <v/>
      </c>
      <c r="E22" s="46"/>
      <c r="F22" s="177"/>
      <c r="G22" s="178"/>
      <c r="H22" s="152"/>
    </row>
    <row r="23" spans="2:8" s="43" customFormat="1" ht="15" thickBot="1" x14ac:dyDescent="0.35">
      <c r="B23" s="47"/>
      <c r="C23" s="47"/>
      <c r="D23" s="128" t="str">
        <f t="shared" si="1"/>
        <v/>
      </c>
      <c r="E23" s="48"/>
      <c r="F23" s="181"/>
      <c r="G23" s="182"/>
      <c r="H23" s="152"/>
    </row>
    <row r="24" spans="2:8" s="43" customFormat="1" ht="15" thickBot="1" x14ac:dyDescent="0.35">
      <c r="B24" s="135" t="s">
        <v>40</v>
      </c>
      <c r="C24" s="66">
        <f>SUM(C16:C23)</f>
        <v>0</v>
      </c>
      <c r="D24" s="135" t="str">
        <f xml:space="preserve"> setValueToTime(C24)</f>
        <v/>
      </c>
      <c r="E24" s="96"/>
      <c r="F24" s="179"/>
      <c r="G24" s="180"/>
      <c r="H24" s="152"/>
    </row>
    <row r="25" spans="2:8" s="43" customFormat="1" ht="15" thickBot="1" x14ac:dyDescent="0.35">
      <c r="B25" s="60"/>
      <c r="C25" s="60"/>
      <c r="D25" s="60"/>
      <c r="E25" s="60"/>
      <c r="F25" s="60"/>
      <c r="G25" s="60"/>
      <c r="H25" s="152"/>
    </row>
    <row r="26" spans="2:8" s="39" customFormat="1" ht="30" customHeight="1" thickBot="1" x14ac:dyDescent="0.3">
      <c r="B26" s="129" t="s">
        <v>33</v>
      </c>
      <c r="C26" s="137">
        <v>25</v>
      </c>
      <c r="D26" s="137"/>
      <c r="E26" s="130" t="s">
        <v>34</v>
      </c>
      <c r="F26" s="131" t="s">
        <v>82</v>
      </c>
      <c r="G26" s="132" t="s">
        <v>77</v>
      </c>
      <c r="H26" s="151"/>
    </row>
    <row r="27" spans="2:8" s="39" customFormat="1" ht="30" customHeight="1" thickBot="1" x14ac:dyDescent="0.3">
      <c r="B27" s="61" t="s">
        <v>35</v>
      </c>
      <c r="C27" s="134" t="s">
        <v>36</v>
      </c>
      <c r="D27" s="133"/>
      <c r="E27" s="61" t="s">
        <v>37</v>
      </c>
      <c r="F27" s="173" t="s">
        <v>38</v>
      </c>
      <c r="G27" s="174"/>
      <c r="H27" s="151"/>
    </row>
    <row r="28" spans="2:8" s="43" customFormat="1" x14ac:dyDescent="0.3">
      <c r="B28" s="40"/>
      <c r="C28" s="41"/>
      <c r="D28" s="125" t="str">
        <f xml:space="preserve"> IF(C28="","",setValueToTime(C28))</f>
        <v/>
      </c>
      <c r="E28" s="42"/>
      <c r="F28" s="175"/>
      <c r="G28" s="176"/>
      <c r="H28" s="152"/>
    </row>
    <row r="29" spans="2:8" s="43" customFormat="1" x14ac:dyDescent="0.3">
      <c r="B29" s="44"/>
      <c r="C29" s="45"/>
      <c r="D29" s="126" t="str">
        <f t="shared" ref="D29:D35" si="2" xml:space="preserve"> IF(C29="","",setValueToTime(C29))</f>
        <v/>
      </c>
      <c r="E29" s="46"/>
      <c r="F29" s="177"/>
      <c r="G29" s="178"/>
      <c r="H29" s="152"/>
    </row>
    <row r="30" spans="2:8" s="43" customFormat="1" x14ac:dyDescent="0.3">
      <c r="B30" s="44"/>
      <c r="C30" s="45"/>
      <c r="D30" s="126" t="str">
        <f t="shared" si="2"/>
        <v/>
      </c>
      <c r="E30" s="46"/>
      <c r="F30" s="177"/>
      <c r="G30" s="178"/>
      <c r="H30" s="152"/>
    </row>
    <row r="31" spans="2:8" s="43" customFormat="1" x14ac:dyDescent="0.3">
      <c r="B31" s="44"/>
      <c r="C31" s="45"/>
      <c r="D31" s="126" t="str">
        <f t="shared" si="2"/>
        <v/>
      </c>
      <c r="E31" s="46"/>
      <c r="F31" s="177"/>
      <c r="G31" s="178"/>
      <c r="H31" s="152"/>
    </row>
    <row r="32" spans="2:8" s="43" customFormat="1" x14ac:dyDescent="0.3">
      <c r="B32" s="45"/>
      <c r="C32" s="45"/>
      <c r="D32" s="127" t="str">
        <f t="shared" si="2"/>
        <v/>
      </c>
      <c r="E32" s="46"/>
      <c r="F32" s="177"/>
      <c r="G32" s="178"/>
      <c r="H32" s="152"/>
    </row>
    <row r="33" spans="2:8" s="43" customFormat="1" x14ac:dyDescent="0.3">
      <c r="B33" s="45"/>
      <c r="C33" s="45"/>
      <c r="D33" s="127" t="str">
        <f t="shared" si="2"/>
        <v/>
      </c>
      <c r="E33" s="46"/>
      <c r="F33" s="177"/>
      <c r="G33" s="178"/>
      <c r="H33" s="152"/>
    </row>
    <row r="34" spans="2:8" s="43" customFormat="1" x14ac:dyDescent="0.3">
      <c r="B34" s="45"/>
      <c r="C34" s="45"/>
      <c r="D34" s="127" t="str">
        <f t="shared" si="2"/>
        <v/>
      </c>
      <c r="E34" s="46"/>
      <c r="F34" s="177"/>
      <c r="G34" s="178"/>
      <c r="H34" s="152"/>
    </row>
    <row r="35" spans="2:8" s="43" customFormat="1" ht="15" thickBot="1" x14ac:dyDescent="0.35">
      <c r="B35" s="47"/>
      <c r="C35" s="47"/>
      <c r="D35" s="128" t="str">
        <f t="shared" si="2"/>
        <v/>
      </c>
      <c r="E35" s="48"/>
      <c r="F35" s="181"/>
      <c r="G35" s="182"/>
      <c r="H35" s="152"/>
    </row>
    <row r="36" spans="2:8" s="43" customFormat="1" ht="15" thickBot="1" x14ac:dyDescent="0.35">
      <c r="B36" s="135" t="s">
        <v>40</v>
      </c>
      <c r="C36" s="66">
        <f>SUM(C28:C35)</f>
        <v>0</v>
      </c>
      <c r="D36" s="135" t="str">
        <f xml:space="preserve"> setValueToTime(C36)</f>
        <v/>
      </c>
      <c r="E36" s="96"/>
      <c r="F36" s="179"/>
      <c r="G36" s="180"/>
      <c r="H36" s="152"/>
    </row>
    <row r="37" spans="2:8" s="43" customFormat="1" ht="15" thickBot="1" x14ac:dyDescent="0.35">
      <c r="B37" s="60"/>
      <c r="C37" s="60"/>
      <c r="D37" s="60"/>
      <c r="E37" s="60"/>
      <c r="F37" s="60"/>
      <c r="G37" s="60"/>
      <c r="H37" s="152"/>
    </row>
    <row r="38" spans="2:8" s="39" customFormat="1" ht="30" customHeight="1" thickBot="1" x14ac:dyDescent="0.3">
      <c r="B38" s="129" t="s">
        <v>33</v>
      </c>
      <c r="C38" s="137">
        <v>24</v>
      </c>
      <c r="D38" s="137"/>
      <c r="E38" s="130" t="s">
        <v>34</v>
      </c>
      <c r="F38" s="131" t="s">
        <v>85</v>
      </c>
      <c r="G38" s="132" t="s">
        <v>76</v>
      </c>
      <c r="H38" s="151"/>
    </row>
    <row r="39" spans="2:8" s="39" customFormat="1" ht="30" customHeight="1" thickBot="1" x14ac:dyDescent="0.3">
      <c r="B39" s="61" t="s">
        <v>35</v>
      </c>
      <c r="C39" s="134" t="s">
        <v>36</v>
      </c>
      <c r="D39" s="133"/>
      <c r="E39" s="61" t="s">
        <v>37</v>
      </c>
      <c r="F39" s="173" t="s">
        <v>38</v>
      </c>
      <c r="G39" s="174"/>
      <c r="H39" s="151"/>
    </row>
    <row r="40" spans="2:8" s="43" customFormat="1" x14ac:dyDescent="0.3">
      <c r="B40" s="40"/>
      <c r="C40" s="41"/>
      <c r="D40" s="125" t="str">
        <f xml:space="preserve"> IF(C40="","",setValueToTime(C40))</f>
        <v/>
      </c>
      <c r="E40" s="42"/>
      <c r="F40" s="175"/>
      <c r="G40" s="176"/>
      <c r="H40" s="152"/>
    </row>
    <row r="41" spans="2:8" s="43" customFormat="1" x14ac:dyDescent="0.3">
      <c r="B41" s="44"/>
      <c r="C41" s="45"/>
      <c r="D41" s="126" t="str">
        <f t="shared" ref="D41:D47" si="3" xml:space="preserve"> IF(C41="","",setValueToTime(C41))</f>
        <v/>
      </c>
      <c r="E41" s="46"/>
      <c r="F41" s="177"/>
      <c r="G41" s="178"/>
      <c r="H41" s="152"/>
    </row>
    <row r="42" spans="2:8" s="43" customFormat="1" x14ac:dyDescent="0.3">
      <c r="B42" s="44"/>
      <c r="C42" s="45"/>
      <c r="D42" s="126" t="str">
        <f t="shared" si="3"/>
        <v/>
      </c>
      <c r="E42" s="46"/>
      <c r="F42" s="177"/>
      <c r="G42" s="178"/>
      <c r="H42" s="152"/>
    </row>
    <row r="43" spans="2:8" s="43" customFormat="1" x14ac:dyDescent="0.3">
      <c r="B43" s="44"/>
      <c r="C43" s="45"/>
      <c r="D43" s="126" t="str">
        <f t="shared" si="3"/>
        <v/>
      </c>
      <c r="E43" s="46"/>
      <c r="F43" s="177"/>
      <c r="G43" s="178"/>
      <c r="H43" s="152"/>
    </row>
    <row r="44" spans="2:8" s="43" customFormat="1" x14ac:dyDescent="0.3">
      <c r="B44" s="45"/>
      <c r="C44" s="45"/>
      <c r="D44" s="127" t="str">
        <f t="shared" si="3"/>
        <v/>
      </c>
      <c r="E44" s="46"/>
      <c r="F44" s="177"/>
      <c r="G44" s="178"/>
      <c r="H44" s="152"/>
    </row>
    <row r="45" spans="2:8" s="43" customFormat="1" x14ac:dyDescent="0.3">
      <c r="B45" s="45"/>
      <c r="C45" s="45"/>
      <c r="D45" s="127" t="str">
        <f t="shared" si="3"/>
        <v/>
      </c>
      <c r="E45" s="46"/>
      <c r="F45" s="177"/>
      <c r="G45" s="178"/>
      <c r="H45" s="152"/>
    </row>
    <row r="46" spans="2:8" s="43" customFormat="1" x14ac:dyDescent="0.3">
      <c r="B46" s="45"/>
      <c r="C46" s="45"/>
      <c r="D46" s="127" t="str">
        <f t="shared" si="3"/>
        <v/>
      </c>
      <c r="E46" s="46"/>
      <c r="F46" s="177"/>
      <c r="G46" s="178"/>
      <c r="H46" s="152"/>
    </row>
    <row r="47" spans="2:8" s="43" customFormat="1" ht="15" thickBot="1" x14ac:dyDescent="0.35">
      <c r="B47" s="47"/>
      <c r="C47" s="47"/>
      <c r="D47" s="128" t="str">
        <f t="shared" si="3"/>
        <v/>
      </c>
      <c r="E47" s="48"/>
      <c r="F47" s="181"/>
      <c r="G47" s="182"/>
      <c r="H47" s="152"/>
    </row>
    <row r="48" spans="2:8" s="43" customFormat="1" ht="15" thickBot="1" x14ac:dyDescent="0.35">
      <c r="B48" s="135" t="s">
        <v>40</v>
      </c>
      <c r="C48" s="66">
        <f>SUM(C40:C47)</f>
        <v>0</v>
      </c>
      <c r="D48" s="135" t="str">
        <f xml:space="preserve"> setValueToTime(C48)</f>
        <v/>
      </c>
      <c r="E48" s="96"/>
      <c r="F48" s="179"/>
      <c r="G48" s="180"/>
      <c r="H48" s="152"/>
    </row>
    <row r="49" spans="2:8" s="43" customFormat="1" ht="15" thickBot="1" x14ac:dyDescent="0.35">
      <c r="B49" s="60"/>
      <c r="C49" s="60"/>
      <c r="D49" s="60"/>
      <c r="E49" s="60"/>
      <c r="F49" s="60"/>
      <c r="G49" s="60"/>
      <c r="H49" s="152"/>
    </row>
    <row r="50" spans="2:8" s="39" customFormat="1" ht="30" customHeight="1" thickBot="1" x14ac:dyDescent="0.3">
      <c r="B50" s="129" t="s">
        <v>33</v>
      </c>
      <c r="C50" s="137">
        <v>23</v>
      </c>
      <c r="D50" s="137"/>
      <c r="E50" s="130" t="s">
        <v>34</v>
      </c>
      <c r="F50" s="131" t="s">
        <v>85</v>
      </c>
      <c r="G50" s="132" t="s">
        <v>77</v>
      </c>
      <c r="H50" s="151"/>
    </row>
    <row r="51" spans="2:8" s="39" customFormat="1" ht="30" customHeight="1" thickBot="1" x14ac:dyDescent="0.3">
      <c r="B51" s="61" t="s">
        <v>35</v>
      </c>
      <c r="C51" s="134" t="s">
        <v>36</v>
      </c>
      <c r="D51" s="133"/>
      <c r="E51" s="61" t="s">
        <v>37</v>
      </c>
      <c r="F51" s="173" t="s">
        <v>38</v>
      </c>
      <c r="G51" s="174"/>
      <c r="H51" s="151"/>
    </row>
    <row r="52" spans="2:8" s="43" customFormat="1" x14ac:dyDescent="0.3">
      <c r="B52" s="40"/>
      <c r="C52" s="41"/>
      <c r="D52" s="125" t="str">
        <f xml:space="preserve"> IF(C52="","",setValueToTime(C52))</f>
        <v/>
      </c>
      <c r="E52" s="42"/>
      <c r="F52" s="175"/>
      <c r="G52" s="176"/>
      <c r="H52" s="152"/>
    </row>
    <row r="53" spans="2:8" s="43" customFormat="1" x14ac:dyDescent="0.3">
      <c r="B53" s="44"/>
      <c r="C53" s="45"/>
      <c r="D53" s="126" t="str">
        <f t="shared" ref="D53:D59" si="4" xml:space="preserve"> IF(C53="","",setValueToTime(C53))</f>
        <v/>
      </c>
      <c r="E53" s="46"/>
      <c r="F53" s="177"/>
      <c r="G53" s="178"/>
      <c r="H53" s="152"/>
    </row>
    <row r="54" spans="2:8" s="43" customFormat="1" x14ac:dyDescent="0.3">
      <c r="B54" s="44"/>
      <c r="C54" s="45"/>
      <c r="D54" s="126" t="str">
        <f t="shared" si="4"/>
        <v/>
      </c>
      <c r="E54" s="46"/>
      <c r="F54" s="177"/>
      <c r="G54" s="178"/>
      <c r="H54" s="152"/>
    </row>
    <row r="55" spans="2:8" s="43" customFormat="1" x14ac:dyDescent="0.3">
      <c r="B55" s="44"/>
      <c r="C55" s="45"/>
      <c r="D55" s="126" t="str">
        <f t="shared" si="4"/>
        <v/>
      </c>
      <c r="E55" s="46"/>
      <c r="F55" s="177"/>
      <c r="G55" s="178"/>
      <c r="H55" s="152"/>
    </row>
    <row r="56" spans="2:8" s="43" customFormat="1" x14ac:dyDescent="0.3">
      <c r="B56" s="45"/>
      <c r="C56" s="45"/>
      <c r="D56" s="127" t="str">
        <f t="shared" si="4"/>
        <v/>
      </c>
      <c r="E56" s="46"/>
      <c r="F56" s="177"/>
      <c r="G56" s="178"/>
      <c r="H56" s="152"/>
    </row>
    <row r="57" spans="2:8" s="43" customFormat="1" x14ac:dyDescent="0.3">
      <c r="B57" s="45"/>
      <c r="C57" s="45"/>
      <c r="D57" s="127" t="str">
        <f t="shared" si="4"/>
        <v/>
      </c>
      <c r="E57" s="46"/>
      <c r="F57" s="177"/>
      <c r="G57" s="178"/>
      <c r="H57" s="152"/>
    </row>
    <row r="58" spans="2:8" s="43" customFormat="1" x14ac:dyDescent="0.3">
      <c r="B58" s="45"/>
      <c r="C58" s="45"/>
      <c r="D58" s="127" t="str">
        <f t="shared" si="4"/>
        <v/>
      </c>
      <c r="E58" s="46"/>
      <c r="F58" s="177"/>
      <c r="G58" s="178"/>
      <c r="H58" s="152"/>
    </row>
    <row r="59" spans="2:8" s="43" customFormat="1" ht="15" thickBot="1" x14ac:dyDescent="0.35">
      <c r="B59" s="47"/>
      <c r="C59" s="47"/>
      <c r="D59" s="128" t="str">
        <f t="shared" si="4"/>
        <v/>
      </c>
      <c r="E59" s="48"/>
      <c r="F59" s="181"/>
      <c r="G59" s="182"/>
      <c r="H59" s="152"/>
    </row>
    <row r="60" spans="2:8" s="43" customFormat="1" ht="15" thickBot="1" x14ac:dyDescent="0.35">
      <c r="B60" s="135" t="s">
        <v>40</v>
      </c>
      <c r="C60" s="66">
        <f>SUM(C52:C59)</f>
        <v>0</v>
      </c>
      <c r="D60" s="135" t="str">
        <f xml:space="preserve"> setValueToTime(C60)</f>
        <v/>
      </c>
      <c r="E60" s="96"/>
      <c r="F60" s="179"/>
      <c r="G60" s="180"/>
      <c r="H60" s="152"/>
    </row>
    <row r="61" spans="2:8" s="43" customFormat="1" ht="15" thickBot="1" x14ac:dyDescent="0.35">
      <c r="B61" s="60"/>
      <c r="C61" s="60"/>
      <c r="D61" s="60"/>
      <c r="E61" s="60"/>
      <c r="F61" s="60"/>
      <c r="G61" s="60"/>
      <c r="H61" s="152"/>
    </row>
    <row r="62" spans="2:8" s="39" customFormat="1" ht="30" customHeight="1" thickBot="1" x14ac:dyDescent="0.3">
      <c r="B62" s="129" t="s">
        <v>33</v>
      </c>
      <c r="C62" s="137">
        <v>22</v>
      </c>
      <c r="D62" s="137"/>
      <c r="E62" s="130" t="s">
        <v>34</v>
      </c>
      <c r="F62" s="131" t="s">
        <v>88</v>
      </c>
      <c r="G62" s="132" t="s">
        <v>76</v>
      </c>
      <c r="H62" s="151"/>
    </row>
    <row r="63" spans="2:8" s="39" customFormat="1" ht="30" customHeight="1" thickBot="1" x14ac:dyDescent="0.3">
      <c r="B63" s="61" t="s">
        <v>35</v>
      </c>
      <c r="C63" s="134" t="s">
        <v>36</v>
      </c>
      <c r="D63" s="133"/>
      <c r="E63" s="61" t="s">
        <v>37</v>
      </c>
      <c r="F63" s="173" t="s">
        <v>38</v>
      </c>
      <c r="G63" s="174"/>
      <c r="H63" s="151"/>
    </row>
    <row r="64" spans="2:8" s="43" customFormat="1" x14ac:dyDescent="0.3">
      <c r="B64" s="40"/>
      <c r="C64" s="41"/>
      <c r="D64" s="125" t="str">
        <f xml:space="preserve"> IF(C64="","",setValueToTime(C64))</f>
        <v/>
      </c>
      <c r="E64" s="42"/>
      <c r="F64" s="175"/>
      <c r="G64" s="176"/>
      <c r="H64" s="152"/>
    </row>
    <row r="65" spans="2:8" s="43" customFormat="1" x14ac:dyDescent="0.3">
      <c r="B65" s="44"/>
      <c r="C65" s="45"/>
      <c r="D65" s="126" t="str">
        <f t="shared" ref="D65:D71" si="5" xml:space="preserve"> IF(C65="","",setValueToTime(C65))</f>
        <v/>
      </c>
      <c r="E65" s="46"/>
      <c r="F65" s="177"/>
      <c r="G65" s="178"/>
      <c r="H65" s="152"/>
    </row>
    <row r="66" spans="2:8" s="43" customFormat="1" x14ac:dyDescent="0.3">
      <c r="B66" s="44"/>
      <c r="C66" s="45"/>
      <c r="D66" s="126" t="str">
        <f t="shared" si="5"/>
        <v/>
      </c>
      <c r="E66" s="46"/>
      <c r="F66" s="177"/>
      <c r="G66" s="178"/>
      <c r="H66" s="152"/>
    </row>
    <row r="67" spans="2:8" s="43" customFormat="1" x14ac:dyDescent="0.3">
      <c r="B67" s="44"/>
      <c r="C67" s="45"/>
      <c r="D67" s="126" t="str">
        <f t="shared" si="5"/>
        <v/>
      </c>
      <c r="E67" s="46"/>
      <c r="F67" s="177"/>
      <c r="G67" s="178"/>
      <c r="H67" s="152"/>
    </row>
    <row r="68" spans="2:8" s="43" customFormat="1" x14ac:dyDescent="0.3">
      <c r="B68" s="45"/>
      <c r="C68" s="45"/>
      <c r="D68" s="127" t="str">
        <f t="shared" si="5"/>
        <v/>
      </c>
      <c r="E68" s="46"/>
      <c r="F68" s="177"/>
      <c r="G68" s="178"/>
      <c r="H68" s="152"/>
    </row>
    <row r="69" spans="2:8" s="43" customFormat="1" x14ac:dyDescent="0.3">
      <c r="B69" s="45"/>
      <c r="C69" s="45"/>
      <c r="D69" s="127" t="str">
        <f t="shared" si="5"/>
        <v/>
      </c>
      <c r="E69" s="46"/>
      <c r="F69" s="177"/>
      <c r="G69" s="178"/>
      <c r="H69" s="152"/>
    </row>
    <row r="70" spans="2:8" s="43" customFormat="1" x14ac:dyDescent="0.3">
      <c r="B70" s="45"/>
      <c r="C70" s="45"/>
      <c r="D70" s="127" t="str">
        <f t="shared" si="5"/>
        <v/>
      </c>
      <c r="E70" s="46"/>
      <c r="F70" s="177"/>
      <c r="G70" s="178"/>
      <c r="H70" s="152"/>
    </row>
    <row r="71" spans="2:8" s="43" customFormat="1" ht="15" thickBot="1" x14ac:dyDescent="0.35">
      <c r="B71" s="47"/>
      <c r="C71" s="47"/>
      <c r="D71" s="128" t="str">
        <f t="shared" si="5"/>
        <v/>
      </c>
      <c r="E71" s="48"/>
      <c r="F71" s="181"/>
      <c r="G71" s="182"/>
      <c r="H71" s="152"/>
    </row>
    <row r="72" spans="2:8" s="43" customFormat="1" ht="15" thickBot="1" x14ac:dyDescent="0.35">
      <c r="B72" s="135" t="s">
        <v>40</v>
      </c>
      <c r="C72" s="66">
        <f>SUM(C64:C71)</f>
        <v>0</v>
      </c>
      <c r="D72" s="135" t="str">
        <f xml:space="preserve"> setValueToTime(C72)</f>
        <v/>
      </c>
      <c r="E72" s="96"/>
      <c r="F72" s="179"/>
      <c r="G72" s="180"/>
      <c r="H72" s="152"/>
    </row>
    <row r="73" spans="2:8" s="43" customFormat="1" ht="15" thickBot="1" x14ac:dyDescent="0.35">
      <c r="B73" s="60"/>
      <c r="C73" s="60"/>
      <c r="D73" s="60"/>
      <c r="E73" s="60"/>
      <c r="F73" s="60"/>
      <c r="G73" s="60"/>
      <c r="H73" s="152"/>
    </row>
    <row r="74" spans="2:8" s="39" customFormat="1" ht="30" customHeight="1" thickBot="1" x14ac:dyDescent="0.3">
      <c r="B74" s="129" t="s">
        <v>33</v>
      </c>
      <c r="C74" s="137">
        <v>21</v>
      </c>
      <c r="D74" s="137"/>
      <c r="E74" s="130" t="s">
        <v>34</v>
      </c>
      <c r="F74" s="131" t="s">
        <v>88</v>
      </c>
      <c r="G74" s="132" t="s">
        <v>77</v>
      </c>
      <c r="H74" s="151"/>
    </row>
    <row r="75" spans="2:8" s="39" customFormat="1" ht="30" customHeight="1" thickBot="1" x14ac:dyDescent="0.3">
      <c r="B75" s="61" t="s">
        <v>35</v>
      </c>
      <c r="C75" s="134" t="s">
        <v>36</v>
      </c>
      <c r="D75" s="133"/>
      <c r="E75" s="61" t="s">
        <v>37</v>
      </c>
      <c r="F75" s="173" t="s">
        <v>38</v>
      </c>
      <c r="G75" s="174"/>
      <c r="H75" s="151"/>
    </row>
    <row r="76" spans="2:8" s="43" customFormat="1" x14ac:dyDescent="0.3">
      <c r="B76" s="40"/>
      <c r="C76" s="41"/>
      <c r="D76" s="125" t="str">
        <f xml:space="preserve"> IF(C76="","",setValueToTime(C76))</f>
        <v/>
      </c>
      <c r="E76" s="42"/>
      <c r="F76" s="175"/>
      <c r="G76" s="176"/>
      <c r="H76" s="152"/>
    </row>
    <row r="77" spans="2:8" s="43" customFormat="1" x14ac:dyDescent="0.3">
      <c r="B77" s="44"/>
      <c r="C77" s="45"/>
      <c r="D77" s="126" t="str">
        <f t="shared" ref="D77:D83" si="6" xml:space="preserve"> IF(C77="","",setValueToTime(C77))</f>
        <v/>
      </c>
      <c r="E77" s="46"/>
      <c r="F77" s="177"/>
      <c r="G77" s="178"/>
      <c r="H77" s="152"/>
    </row>
    <row r="78" spans="2:8" s="43" customFormat="1" x14ac:dyDescent="0.3">
      <c r="B78" s="44"/>
      <c r="C78" s="45"/>
      <c r="D78" s="126" t="str">
        <f t="shared" si="6"/>
        <v/>
      </c>
      <c r="E78" s="46"/>
      <c r="F78" s="177"/>
      <c r="G78" s="178"/>
      <c r="H78" s="152"/>
    </row>
    <row r="79" spans="2:8" s="43" customFormat="1" x14ac:dyDescent="0.3">
      <c r="B79" s="44"/>
      <c r="C79" s="45"/>
      <c r="D79" s="126" t="str">
        <f t="shared" si="6"/>
        <v/>
      </c>
      <c r="E79" s="46"/>
      <c r="F79" s="177"/>
      <c r="G79" s="178"/>
      <c r="H79" s="152"/>
    </row>
    <row r="80" spans="2:8" s="43" customFormat="1" x14ac:dyDescent="0.3">
      <c r="B80" s="45"/>
      <c r="C80" s="45"/>
      <c r="D80" s="127" t="str">
        <f t="shared" si="6"/>
        <v/>
      </c>
      <c r="E80" s="46"/>
      <c r="F80" s="177"/>
      <c r="G80" s="178"/>
      <c r="H80" s="152"/>
    </row>
    <row r="81" spans="2:8" s="43" customFormat="1" x14ac:dyDescent="0.3">
      <c r="B81" s="45"/>
      <c r="C81" s="45"/>
      <c r="D81" s="127" t="str">
        <f t="shared" si="6"/>
        <v/>
      </c>
      <c r="E81" s="46"/>
      <c r="F81" s="177"/>
      <c r="G81" s="178"/>
      <c r="H81" s="152"/>
    </row>
    <row r="82" spans="2:8" s="43" customFormat="1" x14ac:dyDescent="0.3">
      <c r="B82" s="45"/>
      <c r="C82" s="45"/>
      <c r="D82" s="127" t="str">
        <f t="shared" si="6"/>
        <v/>
      </c>
      <c r="E82" s="46"/>
      <c r="F82" s="177"/>
      <c r="G82" s="178"/>
      <c r="H82" s="152"/>
    </row>
    <row r="83" spans="2:8" s="43" customFormat="1" ht="15" thickBot="1" x14ac:dyDescent="0.35">
      <c r="B83" s="47"/>
      <c r="C83" s="47"/>
      <c r="D83" s="128" t="str">
        <f t="shared" si="6"/>
        <v/>
      </c>
      <c r="E83" s="48"/>
      <c r="F83" s="181"/>
      <c r="G83" s="182"/>
      <c r="H83" s="152"/>
    </row>
    <row r="84" spans="2:8" s="43" customFormat="1" ht="15" thickBot="1" x14ac:dyDescent="0.35">
      <c r="B84" s="135" t="s">
        <v>40</v>
      </c>
      <c r="C84" s="66">
        <f>SUM(C76:C83)</f>
        <v>0</v>
      </c>
      <c r="D84" s="135" t="str">
        <f xml:space="preserve"> setValueToTime(C84)</f>
        <v/>
      </c>
      <c r="E84" s="96"/>
      <c r="F84" s="179"/>
      <c r="G84" s="180"/>
      <c r="H84" s="152"/>
    </row>
    <row r="85" spans="2:8" s="43" customFormat="1" ht="15" thickBot="1" x14ac:dyDescent="0.35">
      <c r="B85" s="60"/>
      <c r="C85" s="60"/>
      <c r="D85" s="60"/>
      <c r="E85" s="60"/>
      <c r="F85" s="60"/>
      <c r="G85" s="60"/>
      <c r="H85" s="152"/>
    </row>
    <row r="86" spans="2:8" s="39" customFormat="1" ht="30" customHeight="1" thickBot="1" x14ac:dyDescent="0.3">
      <c r="B86" s="129" t="s">
        <v>33</v>
      </c>
      <c r="C86" s="137">
        <v>20</v>
      </c>
      <c r="D86" s="137"/>
      <c r="E86" s="130" t="s">
        <v>34</v>
      </c>
      <c r="F86" s="131" t="s">
        <v>91</v>
      </c>
      <c r="G86" s="132" t="s">
        <v>76</v>
      </c>
      <c r="H86" s="151"/>
    </row>
    <row r="87" spans="2:8" s="39" customFormat="1" ht="30" customHeight="1" thickBot="1" x14ac:dyDescent="0.3">
      <c r="B87" s="61" t="s">
        <v>35</v>
      </c>
      <c r="C87" s="134" t="s">
        <v>36</v>
      </c>
      <c r="D87" s="133"/>
      <c r="E87" s="61" t="s">
        <v>37</v>
      </c>
      <c r="F87" s="173" t="s">
        <v>38</v>
      </c>
      <c r="G87" s="174"/>
      <c r="H87" s="151"/>
    </row>
    <row r="88" spans="2:8" s="43" customFormat="1" x14ac:dyDescent="0.3">
      <c r="B88" s="40"/>
      <c r="C88" s="41"/>
      <c r="D88" s="125" t="str">
        <f xml:space="preserve"> IF(C88="","",setValueToTime(C88))</f>
        <v/>
      </c>
      <c r="E88" s="42"/>
      <c r="F88" s="175"/>
      <c r="G88" s="176"/>
      <c r="H88" s="152"/>
    </row>
    <row r="89" spans="2:8" s="43" customFormat="1" x14ac:dyDescent="0.3">
      <c r="B89" s="44"/>
      <c r="C89" s="45"/>
      <c r="D89" s="126" t="str">
        <f t="shared" ref="D89:D95" si="7" xml:space="preserve"> IF(C89="","",setValueToTime(C89))</f>
        <v/>
      </c>
      <c r="E89" s="46"/>
      <c r="F89" s="177"/>
      <c r="G89" s="178"/>
      <c r="H89" s="152"/>
    </row>
    <row r="90" spans="2:8" s="43" customFormat="1" x14ac:dyDescent="0.3">
      <c r="B90" s="44"/>
      <c r="C90" s="45"/>
      <c r="D90" s="126" t="str">
        <f t="shared" si="7"/>
        <v/>
      </c>
      <c r="E90" s="46"/>
      <c r="F90" s="177"/>
      <c r="G90" s="178"/>
      <c r="H90" s="152"/>
    </row>
    <row r="91" spans="2:8" s="43" customFormat="1" x14ac:dyDescent="0.3">
      <c r="B91" s="44"/>
      <c r="C91" s="45"/>
      <c r="D91" s="126" t="str">
        <f t="shared" si="7"/>
        <v/>
      </c>
      <c r="E91" s="46"/>
      <c r="F91" s="177"/>
      <c r="G91" s="178"/>
      <c r="H91" s="152"/>
    </row>
    <row r="92" spans="2:8" s="43" customFormat="1" x14ac:dyDescent="0.3">
      <c r="B92" s="45"/>
      <c r="C92" s="45"/>
      <c r="D92" s="127" t="str">
        <f t="shared" si="7"/>
        <v/>
      </c>
      <c r="E92" s="46"/>
      <c r="F92" s="177"/>
      <c r="G92" s="178"/>
      <c r="H92" s="152"/>
    </row>
    <row r="93" spans="2:8" s="43" customFormat="1" x14ac:dyDescent="0.3">
      <c r="B93" s="45"/>
      <c r="C93" s="45"/>
      <c r="D93" s="127" t="str">
        <f t="shared" si="7"/>
        <v/>
      </c>
      <c r="E93" s="46"/>
      <c r="F93" s="177"/>
      <c r="G93" s="178"/>
      <c r="H93" s="152"/>
    </row>
    <row r="94" spans="2:8" s="43" customFormat="1" x14ac:dyDescent="0.3">
      <c r="B94" s="45"/>
      <c r="C94" s="45"/>
      <c r="D94" s="127" t="str">
        <f t="shared" si="7"/>
        <v/>
      </c>
      <c r="E94" s="46"/>
      <c r="F94" s="177"/>
      <c r="G94" s="178"/>
      <c r="H94" s="152"/>
    </row>
    <row r="95" spans="2:8" s="43" customFormat="1" ht="15" thickBot="1" x14ac:dyDescent="0.35">
      <c r="B95" s="47"/>
      <c r="C95" s="47"/>
      <c r="D95" s="128" t="str">
        <f t="shared" si="7"/>
        <v/>
      </c>
      <c r="E95" s="48"/>
      <c r="F95" s="181"/>
      <c r="G95" s="182"/>
      <c r="H95" s="152"/>
    </row>
    <row r="96" spans="2:8" s="43" customFormat="1" ht="15" thickBot="1" x14ac:dyDescent="0.35">
      <c r="B96" s="135" t="s">
        <v>40</v>
      </c>
      <c r="C96" s="66">
        <f>SUM(C88:C95)</f>
        <v>0</v>
      </c>
      <c r="D96" s="135" t="str">
        <f xml:space="preserve"> setValueToTime(C96)</f>
        <v/>
      </c>
      <c r="E96" s="96"/>
      <c r="F96" s="179"/>
      <c r="G96" s="180"/>
      <c r="H96" s="152"/>
    </row>
    <row r="97" spans="2:8" s="43" customFormat="1" ht="15" thickBot="1" x14ac:dyDescent="0.35">
      <c r="B97" s="60"/>
      <c r="C97" s="60"/>
      <c r="D97" s="60"/>
      <c r="E97" s="60"/>
      <c r="F97" s="60"/>
      <c r="G97" s="60"/>
      <c r="H97" s="152"/>
    </row>
    <row r="98" spans="2:8" s="39" customFormat="1" ht="30" customHeight="1" thickBot="1" x14ac:dyDescent="0.3">
      <c r="B98" s="129" t="s">
        <v>33</v>
      </c>
      <c r="C98" s="137">
        <v>19</v>
      </c>
      <c r="D98" s="137"/>
      <c r="E98" s="130" t="s">
        <v>34</v>
      </c>
      <c r="F98" s="131" t="s">
        <v>91</v>
      </c>
      <c r="G98" s="132" t="s">
        <v>77</v>
      </c>
      <c r="H98" s="151"/>
    </row>
    <row r="99" spans="2:8" s="39" customFormat="1" ht="30" customHeight="1" thickBot="1" x14ac:dyDescent="0.3">
      <c r="B99" s="61" t="s">
        <v>35</v>
      </c>
      <c r="C99" s="134" t="s">
        <v>36</v>
      </c>
      <c r="D99" s="133"/>
      <c r="E99" s="61" t="s">
        <v>37</v>
      </c>
      <c r="F99" s="173" t="s">
        <v>38</v>
      </c>
      <c r="G99" s="174"/>
      <c r="H99" s="151"/>
    </row>
    <row r="100" spans="2:8" s="43" customFormat="1" x14ac:dyDescent="0.3">
      <c r="B100" s="40"/>
      <c r="C100" s="41"/>
      <c r="D100" s="125" t="str">
        <f xml:space="preserve"> IF(C100="","",setValueToTime(C100))</f>
        <v/>
      </c>
      <c r="E100" s="42"/>
      <c r="F100" s="175"/>
      <c r="G100" s="176"/>
      <c r="H100" s="152"/>
    </row>
    <row r="101" spans="2:8" s="43" customFormat="1" x14ac:dyDescent="0.3">
      <c r="B101" s="44"/>
      <c r="C101" s="45"/>
      <c r="D101" s="126" t="str">
        <f t="shared" ref="D101:D107" si="8" xml:space="preserve"> IF(C101="","",setValueToTime(C101))</f>
        <v/>
      </c>
      <c r="E101" s="46"/>
      <c r="F101" s="177"/>
      <c r="G101" s="178"/>
      <c r="H101" s="152"/>
    </row>
    <row r="102" spans="2:8" s="43" customFormat="1" x14ac:dyDescent="0.3">
      <c r="B102" s="44"/>
      <c r="C102" s="45"/>
      <c r="D102" s="126" t="str">
        <f t="shared" si="8"/>
        <v/>
      </c>
      <c r="E102" s="46"/>
      <c r="F102" s="177"/>
      <c r="G102" s="178"/>
      <c r="H102" s="152"/>
    </row>
    <row r="103" spans="2:8" s="43" customFormat="1" x14ac:dyDescent="0.3">
      <c r="B103" s="44"/>
      <c r="C103" s="45"/>
      <c r="D103" s="126" t="str">
        <f t="shared" si="8"/>
        <v/>
      </c>
      <c r="E103" s="46"/>
      <c r="F103" s="177"/>
      <c r="G103" s="178"/>
      <c r="H103" s="152"/>
    </row>
    <row r="104" spans="2:8" s="43" customFormat="1" x14ac:dyDescent="0.3">
      <c r="B104" s="45"/>
      <c r="C104" s="45"/>
      <c r="D104" s="127" t="str">
        <f t="shared" si="8"/>
        <v/>
      </c>
      <c r="E104" s="46"/>
      <c r="F104" s="177"/>
      <c r="G104" s="178"/>
      <c r="H104" s="152"/>
    </row>
    <row r="105" spans="2:8" s="43" customFormat="1" x14ac:dyDescent="0.3">
      <c r="B105" s="45"/>
      <c r="C105" s="45"/>
      <c r="D105" s="127" t="str">
        <f t="shared" si="8"/>
        <v/>
      </c>
      <c r="E105" s="46"/>
      <c r="F105" s="177"/>
      <c r="G105" s="178"/>
      <c r="H105" s="152"/>
    </row>
    <row r="106" spans="2:8" s="43" customFormat="1" x14ac:dyDescent="0.3">
      <c r="B106" s="45"/>
      <c r="C106" s="45"/>
      <c r="D106" s="127" t="str">
        <f t="shared" si="8"/>
        <v/>
      </c>
      <c r="E106" s="46"/>
      <c r="F106" s="177"/>
      <c r="G106" s="178"/>
      <c r="H106" s="152"/>
    </row>
    <row r="107" spans="2:8" s="43" customFormat="1" ht="15" thickBot="1" x14ac:dyDescent="0.35">
      <c r="B107" s="47"/>
      <c r="C107" s="47"/>
      <c r="D107" s="128" t="str">
        <f t="shared" si="8"/>
        <v/>
      </c>
      <c r="E107" s="48"/>
      <c r="F107" s="181"/>
      <c r="G107" s="182"/>
      <c r="H107" s="152"/>
    </row>
    <row r="108" spans="2:8" s="43" customFormat="1" ht="15" thickBot="1" x14ac:dyDescent="0.35">
      <c r="B108" s="135" t="s">
        <v>40</v>
      </c>
      <c r="C108" s="66">
        <f>SUM(C100:C107)</f>
        <v>0</v>
      </c>
      <c r="D108" s="135" t="str">
        <f xml:space="preserve"> setValueToTime(C108)</f>
        <v/>
      </c>
      <c r="E108" s="96"/>
      <c r="F108" s="179"/>
      <c r="G108" s="180"/>
      <c r="H108" s="152"/>
    </row>
    <row r="109" spans="2:8" s="43" customFormat="1" ht="15" thickBot="1" x14ac:dyDescent="0.35">
      <c r="B109" s="60"/>
      <c r="C109" s="60"/>
      <c r="D109" s="60"/>
      <c r="E109" s="60"/>
      <c r="F109" s="60"/>
      <c r="G109" s="60"/>
      <c r="H109" s="152"/>
    </row>
    <row r="110" spans="2:8" s="39" customFormat="1" ht="30" customHeight="1" thickBot="1" x14ac:dyDescent="0.3">
      <c r="B110" s="129" t="s">
        <v>33</v>
      </c>
      <c r="C110" s="137">
        <v>18</v>
      </c>
      <c r="D110" s="137"/>
      <c r="E110" s="130" t="s">
        <v>34</v>
      </c>
      <c r="F110" s="131" t="s">
        <v>94</v>
      </c>
      <c r="G110" s="132" t="s">
        <v>76</v>
      </c>
      <c r="H110" s="151"/>
    </row>
    <row r="111" spans="2:8" s="39" customFormat="1" ht="30" customHeight="1" thickBot="1" x14ac:dyDescent="0.3">
      <c r="B111" s="61" t="s">
        <v>35</v>
      </c>
      <c r="C111" s="134" t="s">
        <v>36</v>
      </c>
      <c r="D111" s="133"/>
      <c r="E111" s="61" t="s">
        <v>37</v>
      </c>
      <c r="F111" s="173" t="s">
        <v>38</v>
      </c>
      <c r="G111" s="174"/>
      <c r="H111" s="151"/>
    </row>
    <row r="112" spans="2:8" s="43" customFormat="1" x14ac:dyDescent="0.3">
      <c r="B112" s="40"/>
      <c r="C112" s="41"/>
      <c r="D112" s="125" t="str">
        <f xml:space="preserve"> IF(C112="","",setValueToTime(C112))</f>
        <v/>
      </c>
      <c r="E112" s="42"/>
      <c r="F112" s="175"/>
      <c r="G112" s="176"/>
      <c r="H112" s="152"/>
    </row>
    <row r="113" spans="2:8" s="43" customFormat="1" x14ac:dyDescent="0.3">
      <c r="B113" s="44"/>
      <c r="C113" s="45"/>
      <c r="D113" s="126" t="str">
        <f t="shared" ref="D113:D119" si="9" xml:space="preserve"> IF(C113="","",setValueToTime(C113))</f>
        <v/>
      </c>
      <c r="E113" s="46"/>
      <c r="F113" s="177"/>
      <c r="G113" s="178"/>
      <c r="H113" s="152"/>
    </row>
    <row r="114" spans="2:8" s="43" customFormat="1" x14ac:dyDescent="0.3">
      <c r="B114" s="44"/>
      <c r="C114" s="45"/>
      <c r="D114" s="126" t="str">
        <f t="shared" si="9"/>
        <v/>
      </c>
      <c r="E114" s="46"/>
      <c r="F114" s="177"/>
      <c r="G114" s="178"/>
      <c r="H114" s="152"/>
    </row>
    <row r="115" spans="2:8" s="43" customFormat="1" x14ac:dyDescent="0.3">
      <c r="B115" s="44"/>
      <c r="C115" s="45"/>
      <c r="D115" s="126" t="str">
        <f t="shared" si="9"/>
        <v/>
      </c>
      <c r="E115" s="46"/>
      <c r="F115" s="177"/>
      <c r="G115" s="178"/>
      <c r="H115" s="152"/>
    </row>
    <row r="116" spans="2:8" s="43" customFormat="1" x14ac:dyDescent="0.3">
      <c r="B116" s="45"/>
      <c r="C116" s="45"/>
      <c r="D116" s="127" t="str">
        <f t="shared" si="9"/>
        <v/>
      </c>
      <c r="E116" s="46"/>
      <c r="F116" s="177"/>
      <c r="G116" s="178"/>
      <c r="H116" s="152"/>
    </row>
    <row r="117" spans="2:8" s="43" customFormat="1" x14ac:dyDescent="0.3">
      <c r="B117" s="45"/>
      <c r="C117" s="45"/>
      <c r="D117" s="127" t="str">
        <f t="shared" si="9"/>
        <v/>
      </c>
      <c r="E117" s="46"/>
      <c r="F117" s="177"/>
      <c r="G117" s="178"/>
      <c r="H117" s="152"/>
    </row>
    <row r="118" spans="2:8" s="43" customFormat="1" x14ac:dyDescent="0.3">
      <c r="B118" s="45"/>
      <c r="C118" s="45"/>
      <c r="D118" s="127" t="str">
        <f t="shared" si="9"/>
        <v/>
      </c>
      <c r="E118" s="46"/>
      <c r="F118" s="177"/>
      <c r="G118" s="178"/>
      <c r="H118" s="152"/>
    </row>
    <row r="119" spans="2:8" s="43" customFormat="1" ht="15" thickBot="1" x14ac:dyDescent="0.35">
      <c r="B119" s="47"/>
      <c r="C119" s="47"/>
      <c r="D119" s="128" t="str">
        <f t="shared" si="9"/>
        <v/>
      </c>
      <c r="E119" s="48"/>
      <c r="F119" s="181"/>
      <c r="G119" s="182"/>
      <c r="H119" s="152"/>
    </row>
    <row r="120" spans="2:8" s="43" customFormat="1" ht="15" thickBot="1" x14ac:dyDescent="0.35">
      <c r="B120" s="135" t="s">
        <v>40</v>
      </c>
      <c r="C120" s="66">
        <f>SUM(C112:C119)</f>
        <v>0</v>
      </c>
      <c r="D120" s="135" t="str">
        <f xml:space="preserve"> setValueToTime(C120)</f>
        <v/>
      </c>
      <c r="E120" s="96"/>
      <c r="F120" s="179"/>
      <c r="G120" s="180"/>
      <c r="H120" s="152"/>
    </row>
    <row r="121" spans="2:8" s="43" customFormat="1" ht="15" thickBot="1" x14ac:dyDescent="0.35">
      <c r="B121" s="60"/>
      <c r="C121" s="60"/>
      <c r="D121" s="60"/>
      <c r="E121" s="60"/>
      <c r="F121" s="60"/>
      <c r="G121" s="60"/>
      <c r="H121" s="152"/>
    </row>
    <row r="122" spans="2:8" s="39" customFormat="1" ht="30" customHeight="1" thickBot="1" x14ac:dyDescent="0.3">
      <c r="B122" s="129" t="s">
        <v>33</v>
      </c>
      <c r="C122" s="137">
        <v>17</v>
      </c>
      <c r="D122" s="137"/>
      <c r="E122" s="130" t="s">
        <v>34</v>
      </c>
      <c r="F122" s="131" t="s">
        <v>94</v>
      </c>
      <c r="G122" s="132" t="s">
        <v>77</v>
      </c>
      <c r="H122" s="151"/>
    </row>
    <row r="123" spans="2:8" s="39" customFormat="1" ht="30" customHeight="1" thickBot="1" x14ac:dyDescent="0.3">
      <c r="B123" s="61" t="s">
        <v>35</v>
      </c>
      <c r="C123" s="134" t="s">
        <v>36</v>
      </c>
      <c r="D123" s="133"/>
      <c r="E123" s="61" t="s">
        <v>37</v>
      </c>
      <c r="F123" s="173" t="s">
        <v>38</v>
      </c>
      <c r="G123" s="174"/>
      <c r="H123" s="151"/>
    </row>
    <row r="124" spans="2:8" s="43" customFormat="1" x14ac:dyDescent="0.3">
      <c r="B124" s="40"/>
      <c r="C124" s="41"/>
      <c r="D124" s="125" t="str">
        <f xml:space="preserve"> IF(C124="","",setValueToTime(C124))</f>
        <v/>
      </c>
      <c r="E124" s="42"/>
      <c r="F124" s="175"/>
      <c r="G124" s="176"/>
      <c r="H124" s="152"/>
    </row>
    <row r="125" spans="2:8" s="43" customFormat="1" x14ac:dyDescent="0.3">
      <c r="B125" s="44"/>
      <c r="C125" s="45"/>
      <c r="D125" s="126" t="str">
        <f t="shared" ref="D125:D131" si="10" xml:space="preserve"> IF(C125="","",setValueToTime(C125))</f>
        <v/>
      </c>
      <c r="E125" s="46"/>
      <c r="F125" s="177"/>
      <c r="G125" s="178"/>
      <c r="H125" s="152"/>
    </row>
    <row r="126" spans="2:8" s="43" customFormat="1" x14ac:dyDescent="0.3">
      <c r="B126" s="44"/>
      <c r="C126" s="45"/>
      <c r="D126" s="126" t="str">
        <f t="shared" si="10"/>
        <v/>
      </c>
      <c r="E126" s="46"/>
      <c r="F126" s="177"/>
      <c r="G126" s="178"/>
      <c r="H126" s="152"/>
    </row>
    <row r="127" spans="2:8" s="43" customFormat="1" x14ac:dyDescent="0.3">
      <c r="B127" s="44"/>
      <c r="C127" s="45"/>
      <c r="D127" s="126" t="str">
        <f t="shared" si="10"/>
        <v/>
      </c>
      <c r="E127" s="46"/>
      <c r="F127" s="177"/>
      <c r="G127" s="178"/>
      <c r="H127" s="152"/>
    </row>
    <row r="128" spans="2:8" s="43" customFormat="1" x14ac:dyDescent="0.3">
      <c r="B128" s="45"/>
      <c r="C128" s="45"/>
      <c r="D128" s="127" t="str">
        <f t="shared" si="10"/>
        <v/>
      </c>
      <c r="E128" s="46"/>
      <c r="F128" s="177"/>
      <c r="G128" s="178"/>
      <c r="H128" s="152"/>
    </row>
    <row r="129" spans="2:8" s="43" customFormat="1" x14ac:dyDescent="0.3">
      <c r="B129" s="45"/>
      <c r="C129" s="45"/>
      <c r="D129" s="127" t="str">
        <f t="shared" si="10"/>
        <v/>
      </c>
      <c r="E129" s="46"/>
      <c r="F129" s="177"/>
      <c r="G129" s="178"/>
      <c r="H129" s="152"/>
    </row>
    <row r="130" spans="2:8" s="43" customFormat="1" x14ac:dyDescent="0.3">
      <c r="B130" s="45"/>
      <c r="C130" s="45"/>
      <c r="D130" s="127" t="str">
        <f t="shared" si="10"/>
        <v/>
      </c>
      <c r="E130" s="46"/>
      <c r="F130" s="177"/>
      <c r="G130" s="178"/>
      <c r="H130" s="152"/>
    </row>
    <row r="131" spans="2:8" s="43" customFormat="1" ht="15" thickBot="1" x14ac:dyDescent="0.35">
      <c r="B131" s="47"/>
      <c r="C131" s="47"/>
      <c r="D131" s="128" t="str">
        <f t="shared" si="10"/>
        <v/>
      </c>
      <c r="E131" s="48"/>
      <c r="F131" s="181"/>
      <c r="G131" s="182"/>
      <c r="H131" s="152"/>
    </row>
    <row r="132" spans="2:8" s="43" customFormat="1" ht="15" thickBot="1" x14ac:dyDescent="0.35">
      <c r="B132" s="135" t="s">
        <v>40</v>
      </c>
      <c r="C132" s="66">
        <f>SUM(C124:C131)</f>
        <v>0</v>
      </c>
      <c r="D132" s="135" t="str">
        <f xml:space="preserve"> setValueToTime(C132)</f>
        <v/>
      </c>
      <c r="E132" s="96"/>
      <c r="F132" s="179"/>
      <c r="G132" s="180"/>
      <c r="H132" s="152"/>
    </row>
    <row r="133" spans="2:8" s="43" customFormat="1" ht="15" thickBot="1" x14ac:dyDescent="0.35">
      <c r="B133" s="60"/>
      <c r="C133" s="60"/>
      <c r="D133" s="60"/>
      <c r="E133" s="60"/>
      <c r="F133" s="60"/>
      <c r="G133" s="60"/>
      <c r="H133" s="152"/>
    </row>
    <row r="134" spans="2:8" s="39" customFormat="1" ht="30" customHeight="1" thickBot="1" x14ac:dyDescent="0.3">
      <c r="B134" s="129" t="s">
        <v>33</v>
      </c>
      <c r="C134" s="137">
        <v>16</v>
      </c>
      <c r="D134" s="137"/>
      <c r="E134" s="130" t="s">
        <v>34</v>
      </c>
      <c r="F134" s="131" t="s">
        <v>97</v>
      </c>
      <c r="G134" s="132" t="s">
        <v>76</v>
      </c>
      <c r="H134" s="151"/>
    </row>
    <row r="135" spans="2:8" s="39" customFormat="1" ht="30" customHeight="1" thickBot="1" x14ac:dyDescent="0.3">
      <c r="B135" s="61" t="s">
        <v>35</v>
      </c>
      <c r="C135" s="134" t="s">
        <v>36</v>
      </c>
      <c r="D135" s="133"/>
      <c r="E135" s="61" t="s">
        <v>37</v>
      </c>
      <c r="F135" s="173" t="s">
        <v>38</v>
      </c>
      <c r="G135" s="174"/>
      <c r="H135" s="151"/>
    </row>
    <row r="136" spans="2:8" s="43" customFormat="1" x14ac:dyDescent="0.3">
      <c r="B136" s="40"/>
      <c r="C136" s="41"/>
      <c r="D136" s="125" t="str">
        <f xml:space="preserve"> IF(C136="","",setValueToTime(C136))</f>
        <v/>
      </c>
      <c r="E136" s="42"/>
      <c r="F136" s="175"/>
      <c r="G136" s="176"/>
      <c r="H136" s="152"/>
    </row>
    <row r="137" spans="2:8" s="43" customFormat="1" x14ac:dyDescent="0.3">
      <c r="B137" s="44"/>
      <c r="C137" s="45"/>
      <c r="D137" s="126" t="str">
        <f t="shared" ref="D137:D143" si="11" xml:space="preserve"> IF(C137="","",setValueToTime(C137))</f>
        <v/>
      </c>
      <c r="E137" s="46"/>
      <c r="F137" s="177"/>
      <c r="G137" s="178"/>
      <c r="H137" s="152"/>
    </row>
    <row r="138" spans="2:8" s="43" customFormat="1" x14ac:dyDescent="0.3">
      <c r="B138" s="44"/>
      <c r="C138" s="45"/>
      <c r="D138" s="126" t="str">
        <f t="shared" si="11"/>
        <v/>
      </c>
      <c r="E138" s="46"/>
      <c r="F138" s="177"/>
      <c r="G138" s="178"/>
      <c r="H138" s="152"/>
    </row>
    <row r="139" spans="2:8" s="43" customFormat="1" x14ac:dyDescent="0.3">
      <c r="B139" s="44"/>
      <c r="C139" s="45"/>
      <c r="D139" s="126" t="str">
        <f t="shared" si="11"/>
        <v/>
      </c>
      <c r="E139" s="46"/>
      <c r="F139" s="177"/>
      <c r="G139" s="178"/>
      <c r="H139" s="152"/>
    </row>
    <row r="140" spans="2:8" s="43" customFormat="1" x14ac:dyDescent="0.3">
      <c r="B140" s="45"/>
      <c r="C140" s="45"/>
      <c r="D140" s="127" t="str">
        <f t="shared" si="11"/>
        <v/>
      </c>
      <c r="E140" s="46"/>
      <c r="F140" s="177"/>
      <c r="G140" s="178"/>
      <c r="H140" s="152"/>
    </row>
    <row r="141" spans="2:8" s="43" customFormat="1" x14ac:dyDescent="0.3">
      <c r="B141" s="45"/>
      <c r="C141" s="45"/>
      <c r="D141" s="127" t="str">
        <f t="shared" si="11"/>
        <v/>
      </c>
      <c r="E141" s="46"/>
      <c r="F141" s="177"/>
      <c r="G141" s="178"/>
      <c r="H141" s="152"/>
    </row>
    <row r="142" spans="2:8" s="43" customFormat="1" x14ac:dyDescent="0.3">
      <c r="B142" s="45"/>
      <c r="C142" s="45"/>
      <c r="D142" s="127" t="str">
        <f t="shared" si="11"/>
        <v/>
      </c>
      <c r="E142" s="46"/>
      <c r="F142" s="177"/>
      <c r="G142" s="178"/>
      <c r="H142" s="152"/>
    </row>
    <row r="143" spans="2:8" s="43" customFormat="1" ht="15" thickBot="1" x14ac:dyDescent="0.35">
      <c r="B143" s="47"/>
      <c r="C143" s="47"/>
      <c r="D143" s="128" t="str">
        <f t="shared" si="11"/>
        <v/>
      </c>
      <c r="E143" s="48"/>
      <c r="F143" s="181"/>
      <c r="G143" s="182"/>
      <c r="H143" s="152"/>
    </row>
    <row r="144" spans="2:8" s="43" customFormat="1" ht="15" thickBot="1" x14ac:dyDescent="0.35">
      <c r="B144" s="135" t="s">
        <v>40</v>
      </c>
      <c r="C144" s="66">
        <f>SUM(C136:C143)</f>
        <v>0</v>
      </c>
      <c r="D144" s="135" t="str">
        <f xml:space="preserve"> setValueToTime(C144)</f>
        <v/>
      </c>
      <c r="E144" s="96"/>
      <c r="F144" s="179"/>
      <c r="G144" s="180"/>
      <c r="H144" s="152"/>
    </row>
    <row r="145" spans="2:8" s="43" customFormat="1" ht="15" thickBot="1" x14ac:dyDescent="0.35">
      <c r="B145" s="60"/>
      <c r="C145" s="60"/>
      <c r="D145" s="60"/>
      <c r="E145" s="60"/>
      <c r="F145" s="60"/>
      <c r="G145" s="60"/>
      <c r="H145" s="152"/>
    </row>
    <row r="146" spans="2:8" s="39" customFormat="1" ht="30" customHeight="1" thickBot="1" x14ac:dyDescent="0.3">
      <c r="B146" s="129" t="s">
        <v>33</v>
      </c>
      <c r="C146" s="137">
        <v>15</v>
      </c>
      <c r="D146" s="137"/>
      <c r="E146" s="130" t="s">
        <v>34</v>
      </c>
      <c r="F146" s="131" t="s">
        <v>97</v>
      </c>
      <c r="G146" s="132" t="s">
        <v>77</v>
      </c>
      <c r="H146" s="151"/>
    </row>
    <row r="147" spans="2:8" s="39" customFormat="1" ht="30" customHeight="1" thickBot="1" x14ac:dyDescent="0.3">
      <c r="B147" s="61" t="s">
        <v>35</v>
      </c>
      <c r="C147" s="134" t="s">
        <v>36</v>
      </c>
      <c r="D147" s="133"/>
      <c r="E147" s="61" t="s">
        <v>37</v>
      </c>
      <c r="F147" s="173" t="s">
        <v>38</v>
      </c>
      <c r="G147" s="174"/>
      <c r="H147" s="151"/>
    </row>
    <row r="148" spans="2:8" s="43" customFormat="1" ht="54" x14ac:dyDescent="0.3">
      <c r="B148" s="40" t="s">
        <v>53</v>
      </c>
      <c r="C148" s="41">
        <v>4</v>
      </c>
      <c r="D148" s="125" t="str">
        <f xml:space="preserve"> IF(C148="","",setValueToTime(C148))</f>
        <v xml:space="preserve"> 20 min</v>
      </c>
      <c r="E148" s="42" t="s">
        <v>156</v>
      </c>
      <c r="F148" s="175"/>
      <c r="G148" s="176"/>
      <c r="H148" s="152"/>
    </row>
    <row r="149" spans="2:8" s="43" customFormat="1" ht="40.5" x14ac:dyDescent="0.3">
      <c r="B149" s="44" t="s">
        <v>46</v>
      </c>
      <c r="C149" s="45">
        <v>4</v>
      </c>
      <c r="D149" s="126" t="str">
        <f t="shared" ref="D149:D155" si="12" xml:space="preserve"> IF(C149="","",setValueToTime(C149))</f>
        <v xml:space="preserve"> 20 min</v>
      </c>
      <c r="E149" s="46" t="s">
        <v>160</v>
      </c>
      <c r="F149" s="177"/>
      <c r="G149" s="178"/>
      <c r="H149" s="152"/>
    </row>
    <row r="150" spans="2:8" s="43" customFormat="1" ht="27" x14ac:dyDescent="0.3">
      <c r="B150" s="44" t="s">
        <v>30</v>
      </c>
      <c r="C150" s="45">
        <v>8</v>
      </c>
      <c r="D150" s="126" t="str">
        <f t="shared" si="12"/>
        <v xml:space="preserve"> 40 min</v>
      </c>
      <c r="E150" s="46" t="s">
        <v>158</v>
      </c>
      <c r="F150" s="177"/>
      <c r="G150" s="178"/>
      <c r="H150" s="152"/>
    </row>
    <row r="151" spans="2:8" s="43" customFormat="1" x14ac:dyDescent="0.3">
      <c r="B151" s="44" t="s">
        <v>74</v>
      </c>
      <c r="C151" s="45">
        <v>6</v>
      </c>
      <c r="D151" s="126" t="str">
        <f t="shared" si="12"/>
        <v xml:space="preserve"> 30 min</v>
      </c>
      <c r="E151" s="46" t="s">
        <v>157</v>
      </c>
      <c r="F151" s="177"/>
      <c r="G151" s="178"/>
      <c r="H151" s="152"/>
    </row>
    <row r="152" spans="2:8" s="43" customFormat="1" x14ac:dyDescent="0.3">
      <c r="B152" s="45"/>
      <c r="C152" s="45"/>
      <c r="D152" s="127" t="str">
        <f t="shared" si="12"/>
        <v/>
      </c>
      <c r="E152" s="46"/>
      <c r="F152" s="177"/>
      <c r="G152" s="178"/>
      <c r="H152" s="152"/>
    </row>
    <row r="153" spans="2:8" s="43" customFormat="1" x14ac:dyDescent="0.3">
      <c r="B153" s="44"/>
      <c r="C153" s="45"/>
      <c r="D153" s="126" t="str">
        <f t="shared" ref="D153:D154" si="13" xml:space="preserve"> IF(C153="","",setValueToTime(C153))</f>
        <v/>
      </c>
      <c r="E153" s="46"/>
      <c r="F153" s="177"/>
      <c r="G153" s="178"/>
      <c r="H153" s="152"/>
    </row>
    <row r="154" spans="2:8" s="43" customFormat="1" x14ac:dyDescent="0.3">
      <c r="B154" s="44"/>
      <c r="C154" s="45"/>
      <c r="D154" s="126" t="str">
        <f t="shared" si="13"/>
        <v/>
      </c>
      <c r="E154" s="46"/>
      <c r="F154" s="177"/>
      <c r="G154" s="178"/>
      <c r="H154" s="152"/>
    </row>
    <row r="155" spans="2:8" s="43" customFormat="1" ht="15" thickBot="1" x14ac:dyDescent="0.35">
      <c r="B155" s="47"/>
      <c r="C155" s="47"/>
      <c r="D155" s="128" t="str">
        <f t="shared" si="12"/>
        <v/>
      </c>
      <c r="E155" s="48"/>
      <c r="F155" s="181"/>
      <c r="G155" s="182"/>
      <c r="H155" s="152"/>
    </row>
    <row r="156" spans="2:8" s="43" customFormat="1" ht="15" thickBot="1" x14ac:dyDescent="0.35">
      <c r="B156" s="135" t="s">
        <v>40</v>
      </c>
      <c r="C156" s="66">
        <f>SUM(C148:C155)</f>
        <v>22</v>
      </c>
      <c r="D156" s="135" t="str">
        <f xml:space="preserve"> setValueToTime(C156)</f>
        <v>1h 50 min</v>
      </c>
      <c r="E156" s="96"/>
      <c r="F156" s="179"/>
      <c r="G156" s="180"/>
      <c r="H156" s="152"/>
    </row>
    <row r="157" spans="2:8" s="43" customFormat="1" ht="15" thickBot="1" x14ac:dyDescent="0.35">
      <c r="B157" s="60"/>
      <c r="C157" s="60"/>
      <c r="D157" s="60"/>
      <c r="E157" s="60"/>
      <c r="F157" s="60"/>
      <c r="G157" s="60"/>
      <c r="H157" s="152"/>
    </row>
    <row r="158" spans="2:8" s="39" customFormat="1" ht="30" customHeight="1" thickBot="1" x14ac:dyDescent="0.3">
      <c r="B158" s="129" t="s">
        <v>33</v>
      </c>
      <c r="C158" s="137">
        <v>14</v>
      </c>
      <c r="D158" s="137"/>
      <c r="E158" s="130" t="s">
        <v>34</v>
      </c>
      <c r="F158" s="131" t="s">
        <v>100</v>
      </c>
      <c r="G158" s="132" t="s">
        <v>76</v>
      </c>
      <c r="H158" s="151"/>
    </row>
    <row r="159" spans="2:8" s="39" customFormat="1" ht="30" customHeight="1" thickBot="1" x14ac:dyDescent="0.3">
      <c r="B159" s="61" t="s">
        <v>35</v>
      </c>
      <c r="C159" s="134" t="s">
        <v>36</v>
      </c>
      <c r="D159" s="133"/>
      <c r="E159" s="61" t="s">
        <v>37</v>
      </c>
      <c r="F159" s="173" t="s">
        <v>38</v>
      </c>
      <c r="G159" s="174"/>
      <c r="H159" s="151"/>
    </row>
    <row r="160" spans="2:8" s="43" customFormat="1" ht="54" x14ac:dyDescent="0.3">
      <c r="B160" s="40" t="s">
        <v>48</v>
      </c>
      <c r="C160" s="41">
        <v>6</v>
      </c>
      <c r="D160" s="125" t="str">
        <f xml:space="preserve"> IF(C160="","",setValueToTime(C160))</f>
        <v xml:space="preserve"> 30 min</v>
      </c>
      <c r="E160" s="42" t="s">
        <v>151</v>
      </c>
      <c r="F160" s="183" t="s">
        <v>159</v>
      </c>
      <c r="G160" s="176"/>
      <c r="H160" s="152"/>
    </row>
    <row r="161" spans="2:8" s="43" customFormat="1" ht="94.5" x14ac:dyDescent="0.3">
      <c r="B161" s="44" t="s">
        <v>53</v>
      </c>
      <c r="C161" s="45">
        <v>5</v>
      </c>
      <c r="D161" s="126" t="str">
        <f t="shared" ref="D161:D167" si="14" xml:space="preserve"> IF(C161="","",setValueToTime(C161))</f>
        <v xml:space="preserve"> 25 min</v>
      </c>
      <c r="E161" s="46" t="s">
        <v>152</v>
      </c>
      <c r="F161" s="177"/>
      <c r="G161" s="178"/>
      <c r="H161" s="152"/>
    </row>
    <row r="162" spans="2:8" s="43" customFormat="1" ht="40.5" x14ac:dyDescent="0.3">
      <c r="B162" s="44" t="s">
        <v>46</v>
      </c>
      <c r="C162" s="45">
        <v>15</v>
      </c>
      <c r="D162" s="126" t="str">
        <f t="shared" si="14"/>
        <v>1h 15 min</v>
      </c>
      <c r="E162" s="46" t="s">
        <v>155</v>
      </c>
      <c r="F162" s="177"/>
      <c r="G162" s="178"/>
      <c r="H162" s="152"/>
    </row>
    <row r="163" spans="2:8" s="43" customFormat="1" ht="27" x14ac:dyDescent="0.3">
      <c r="B163" s="44" t="s">
        <v>29</v>
      </c>
      <c r="C163" s="45">
        <v>3</v>
      </c>
      <c r="D163" s="126" t="str">
        <f t="shared" si="14"/>
        <v xml:space="preserve"> 15 min</v>
      </c>
      <c r="E163" s="46"/>
      <c r="F163" s="177"/>
      <c r="G163" s="178"/>
      <c r="H163" s="152"/>
    </row>
    <row r="164" spans="2:8" s="43" customFormat="1" x14ac:dyDescent="0.3">
      <c r="B164" s="45"/>
      <c r="C164" s="45"/>
      <c r="D164" s="127" t="str">
        <f t="shared" si="14"/>
        <v/>
      </c>
      <c r="E164" s="46"/>
      <c r="F164" s="177"/>
      <c r="G164" s="178"/>
      <c r="H164" s="152"/>
    </row>
    <row r="165" spans="2:8" s="43" customFormat="1" x14ac:dyDescent="0.3">
      <c r="B165" s="45"/>
      <c r="C165" s="45"/>
      <c r="D165" s="127" t="str">
        <f t="shared" si="14"/>
        <v/>
      </c>
      <c r="E165" s="46"/>
      <c r="F165" s="177"/>
      <c r="G165" s="178"/>
      <c r="H165" s="152"/>
    </row>
    <row r="166" spans="2:8" s="43" customFormat="1" x14ac:dyDescent="0.3">
      <c r="B166" s="45"/>
      <c r="C166" s="45"/>
      <c r="D166" s="127" t="str">
        <f t="shared" si="14"/>
        <v/>
      </c>
      <c r="E166" s="46"/>
      <c r="F166" s="177"/>
      <c r="G166" s="178"/>
      <c r="H166" s="152"/>
    </row>
    <row r="167" spans="2:8" s="43" customFormat="1" ht="15" thickBot="1" x14ac:dyDescent="0.35">
      <c r="B167" s="47"/>
      <c r="C167" s="47"/>
      <c r="D167" s="128" t="str">
        <f t="shared" si="14"/>
        <v/>
      </c>
      <c r="E167" s="48"/>
      <c r="F167" s="181"/>
      <c r="G167" s="182"/>
      <c r="H167" s="152"/>
    </row>
    <row r="168" spans="2:8" s="43" customFormat="1" ht="15" thickBot="1" x14ac:dyDescent="0.35">
      <c r="B168" s="135" t="s">
        <v>40</v>
      </c>
      <c r="C168" s="66">
        <f>SUM(C160:C167)</f>
        <v>29</v>
      </c>
      <c r="D168" s="135" t="str">
        <f xml:space="preserve"> setValueToTime(C168)</f>
        <v>2h 25 min</v>
      </c>
      <c r="E168" s="96"/>
      <c r="F168" s="179"/>
      <c r="G168" s="180"/>
      <c r="H168" s="152"/>
    </row>
    <row r="169" spans="2:8" s="43" customFormat="1" ht="15" thickBot="1" x14ac:dyDescent="0.35">
      <c r="B169" s="60"/>
      <c r="C169" s="60"/>
      <c r="D169" s="60"/>
      <c r="E169" s="60"/>
      <c r="F169" s="60"/>
      <c r="G169" s="60"/>
      <c r="H169" s="152"/>
    </row>
    <row r="170" spans="2:8" s="39" customFormat="1" ht="30" customHeight="1" thickBot="1" x14ac:dyDescent="0.3">
      <c r="B170" s="129" t="s">
        <v>33</v>
      </c>
      <c r="C170" s="137">
        <v>13</v>
      </c>
      <c r="D170" s="137"/>
      <c r="E170" s="130" t="s">
        <v>34</v>
      </c>
      <c r="F170" s="131" t="s">
        <v>100</v>
      </c>
      <c r="G170" s="132" t="s">
        <v>77</v>
      </c>
      <c r="H170" s="151"/>
    </row>
    <row r="171" spans="2:8" s="39" customFormat="1" ht="30" customHeight="1" thickBot="1" x14ac:dyDescent="0.3">
      <c r="B171" s="61" t="s">
        <v>35</v>
      </c>
      <c r="C171" s="134" t="s">
        <v>36</v>
      </c>
      <c r="D171" s="133"/>
      <c r="E171" s="61" t="s">
        <v>37</v>
      </c>
      <c r="F171" s="173" t="s">
        <v>38</v>
      </c>
      <c r="G171" s="174"/>
      <c r="H171" s="151"/>
    </row>
    <row r="172" spans="2:8" s="43" customFormat="1" ht="27" x14ac:dyDescent="0.3">
      <c r="B172" s="40" t="s">
        <v>52</v>
      </c>
      <c r="C172" s="41">
        <v>7</v>
      </c>
      <c r="D172" s="125" t="str">
        <f xml:space="preserve"> IF(C172="","",setValueToTime(C172))</f>
        <v xml:space="preserve"> 35 min</v>
      </c>
      <c r="E172" s="42" t="s">
        <v>148</v>
      </c>
      <c r="F172" s="175"/>
      <c r="G172" s="176"/>
      <c r="H172" s="152"/>
    </row>
    <row r="173" spans="2:8" s="43" customFormat="1" ht="27" x14ac:dyDescent="0.3">
      <c r="B173" s="44" t="s">
        <v>49</v>
      </c>
      <c r="C173" s="45">
        <v>23</v>
      </c>
      <c r="D173" s="126" t="str">
        <f t="shared" ref="D173:D179" si="15" xml:space="preserve"> IF(C173="","",setValueToTime(C173))</f>
        <v>1h 55 min</v>
      </c>
      <c r="E173" s="46" t="s">
        <v>149</v>
      </c>
      <c r="F173" s="177"/>
      <c r="G173" s="178"/>
      <c r="H173" s="152"/>
    </row>
    <row r="174" spans="2:8" s="43" customFormat="1" ht="27" x14ac:dyDescent="0.3">
      <c r="B174" s="44" t="s">
        <v>54</v>
      </c>
      <c r="C174" s="45">
        <v>8</v>
      </c>
      <c r="D174" s="126" t="str">
        <f t="shared" si="15"/>
        <v xml:space="preserve"> 40 min</v>
      </c>
      <c r="E174" s="46" t="s">
        <v>150</v>
      </c>
      <c r="F174" s="177"/>
      <c r="G174" s="178"/>
      <c r="H174" s="152"/>
    </row>
    <row r="175" spans="2:8" s="43" customFormat="1" x14ac:dyDescent="0.3">
      <c r="B175" s="44"/>
      <c r="C175" s="45"/>
      <c r="D175" s="126" t="str">
        <f t="shared" si="15"/>
        <v/>
      </c>
      <c r="E175" s="46"/>
      <c r="F175" s="177"/>
      <c r="G175" s="178"/>
      <c r="H175" s="152"/>
    </row>
    <row r="176" spans="2:8" s="43" customFormat="1" x14ac:dyDescent="0.3">
      <c r="B176" s="45"/>
      <c r="C176" s="45"/>
      <c r="D176" s="127" t="str">
        <f t="shared" si="15"/>
        <v/>
      </c>
      <c r="E176" s="46"/>
      <c r="F176" s="177"/>
      <c r="G176" s="178"/>
      <c r="H176" s="152"/>
    </row>
    <row r="177" spans="2:8" s="43" customFormat="1" x14ac:dyDescent="0.3">
      <c r="B177" s="45"/>
      <c r="C177" s="45"/>
      <c r="D177" s="127" t="str">
        <f t="shared" si="15"/>
        <v/>
      </c>
      <c r="E177" s="46"/>
      <c r="F177" s="177"/>
      <c r="G177" s="178"/>
      <c r="H177" s="152"/>
    </row>
    <row r="178" spans="2:8" s="43" customFormat="1" x14ac:dyDescent="0.3">
      <c r="B178" s="45"/>
      <c r="C178" s="45"/>
      <c r="D178" s="127" t="str">
        <f t="shared" si="15"/>
        <v/>
      </c>
      <c r="E178" s="46"/>
      <c r="F178" s="177"/>
      <c r="G178" s="178"/>
      <c r="H178" s="152"/>
    </row>
    <row r="179" spans="2:8" s="43" customFormat="1" ht="15" thickBot="1" x14ac:dyDescent="0.35">
      <c r="B179" s="47"/>
      <c r="C179" s="47"/>
      <c r="D179" s="128" t="str">
        <f t="shared" si="15"/>
        <v/>
      </c>
      <c r="E179" s="48"/>
      <c r="F179" s="181"/>
      <c r="G179" s="182"/>
      <c r="H179" s="152"/>
    </row>
    <row r="180" spans="2:8" s="43" customFormat="1" ht="15" thickBot="1" x14ac:dyDescent="0.35">
      <c r="B180" s="135" t="s">
        <v>40</v>
      </c>
      <c r="C180" s="66">
        <f>SUM(C172:C179)</f>
        <v>38</v>
      </c>
      <c r="D180" s="135" t="str">
        <f xml:space="preserve"> setValueToTime(C180)</f>
        <v>3h 10 min</v>
      </c>
      <c r="E180" s="96"/>
      <c r="F180" s="179"/>
      <c r="G180" s="180"/>
      <c r="H180" s="152"/>
    </row>
    <row r="181" spans="2:8" s="43" customFormat="1" ht="15" thickBot="1" x14ac:dyDescent="0.35">
      <c r="B181" s="60"/>
      <c r="C181" s="60"/>
      <c r="D181" s="60"/>
      <c r="E181" s="60"/>
      <c r="F181" s="60"/>
      <c r="G181" s="60"/>
      <c r="H181" s="152"/>
    </row>
    <row r="182" spans="2:8" s="39" customFormat="1" ht="30" customHeight="1" thickBot="1" x14ac:dyDescent="0.3">
      <c r="B182" s="129" t="s">
        <v>33</v>
      </c>
      <c r="C182" s="137">
        <v>12</v>
      </c>
      <c r="D182" s="137"/>
      <c r="E182" s="130" t="s">
        <v>34</v>
      </c>
      <c r="F182" s="131" t="s">
        <v>103</v>
      </c>
      <c r="G182" s="132" t="s">
        <v>76</v>
      </c>
      <c r="H182" s="151"/>
    </row>
    <row r="183" spans="2:8" s="39" customFormat="1" ht="30" customHeight="1" thickBot="1" x14ac:dyDescent="0.3">
      <c r="B183" s="61" t="s">
        <v>35</v>
      </c>
      <c r="C183" s="134" t="s">
        <v>36</v>
      </c>
      <c r="D183" s="133"/>
      <c r="E183" s="61" t="s">
        <v>37</v>
      </c>
      <c r="F183" s="173" t="s">
        <v>38</v>
      </c>
      <c r="G183" s="174"/>
      <c r="H183" s="151"/>
    </row>
    <row r="184" spans="2:8" s="43" customFormat="1" ht="27" x14ac:dyDescent="0.3">
      <c r="B184" s="40" t="s">
        <v>44</v>
      </c>
      <c r="C184" s="41">
        <v>15</v>
      </c>
      <c r="D184" s="125" t="str">
        <f xml:space="preserve"> IF(C184="","",setValueToTime(C184))</f>
        <v>1h 15 min</v>
      </c>
      <c r="E184" s="42" t="s">
        <v>145</v>
      </c>
      <c r="F184" s="175"/>
      <c r="G184" s="176"/>
      <c r="H184" s="152"/>
    </row>
    <row r="185" spans="2:8" s="43" customFormat="1" ht="27" x14ac:dyDescent="0.3">
      <c r="B185" s="44" t="s">
        <v>45</v>
      </c>
      <c r="C185" s="45">
        <v>15</v>
      </c>
      <c r="D185" s="126" t="str">
        <f t="shared" ref="D185:D191" si="16" xml:space="preserve"> IF(C185="","",setValueToTime(C185))</f>
        <v>1h 15 min</v>
      </c>
      <c r="E185" s="46" t="s">
        <v>146</v>
      </c>
      <c r="F185" s="177"/>
      <c r="G185" s="178"/>
      <c r="H185" s="152"/>
    </row>
    <row r="186" spans="2:8" s="43" customFormat="1" ht="27" x14ac:dyDescent="0.3">
      <c r="B186" s="44" t="s">
        <v>52</v>
      </c>
      <c r="C186" s="45">
        <v>5</v>
      </c>
      <c r="D186" s="126" t="str">
        <f xml:space="preserve"> IF(C186="","",setValueToTime(C186))</f>
        <v xml:space="preserve"> 25 min</v>
      </c>
      <c r="E186" s="46" t="s">
        <v>147</v>
      </c>
      <c r="F186" s="177"/>
      <c r="G186" s="178"/>
      <c r="H186" s="152"/>
    </row>
    <row r="187" spans="2:8" s="43" customFormat="1" ht="27" x14ac:dyDescent="0.3">
      <c r="B187" s="44" t="s">
        <v>29</v>
      </c>
      <c r="C187" s="45">
        <v>3</v>
      </c>
      <c r="D187" s="126" t="str">
        <f t="shared" si="16"/>
        <v xml:space="preserve"> 15 min</v>
      </c>
      <c r="E187" s="46"/>
      <c r="F187" s="177"/>
      <c r="G187" s="178"/>
      <c r="H187" s="152"/>
    </row>
    <row r="188" spans="2:8" s="43" customFormat="1" x14ac:dyDescent="0.3">
      <c r="B188" s="45"/>
      <c r="C188" s="45"/>
      <c r="D188" s="127" t="str">
        <f t="shared" si="16"/>
        <v/>
      </c>
      <c r="E188" s="46"/>
      <c r="F188" s="177"/>
      <c r="G188" s="178"/>
      <c r="H188" s="152"/>
    </row>
    <row r="189" spans="2:8" s="43" customFormat="1" x14ac:dyDescent="0.3">
      <c r="B189" s="45"/>
      <c r="C189" s="45"/>
      <c r="D189" s="127" t="str">
        <f t="shared" si="16"/>
        <v/>
      </c>
      <c r="E189" s="46"/>
      <c r="F189" s="177"/>
      <c r="G189" s="178"/>
      <c r="H189" s="152"/>
    </row>
    <row r="190" spans="2:8" s="43" customFormat="1" x14ac:dyDescent="0.3">
      <c r="B190" s="45"/>
      <c r="C190" s="45"/>
      <c r="D190" s="127" t="str">
        <f t="shared" si="16"/>
        <v/>
      </c>
      <c r="E190" s="46"/>
      <c r="F190" s="177"/>
      <c r="G190" s="178"/>
      <c r="H190" s="152"/>
    </row>
    <row r="191" spans="2:8" s="43" customFormat="1" ht="15" thickBot="1" x14ac:dyDescent="0.35">
      <c r="B191" s="47"/>
      <c r="C191" s="47"/>
      <c r="D191" s="128" t="str">
        <f t="shared" si="16"/>
        <v/>
      </c>
      <c r="E191" s="48"/>
      <c r="F191" s="181"/>
      <c r="G191" s="182"/>
      <c r="H191" s="152"/>
    </row>
    <row r="192" spans="2:8" s="43" customFormat="1" ht="15" thickBot="1" x14ac:dyDescent="0.35">
      <c r="B192" s="135" t="s">
        <v>40</v>
      </c>
      <c r="C192" s="66">
        <f>SUM(C184:C191)</f>
        <v>38</v>
      </c>
      <c r="D192" s="135" t="str">
        <f xml:space="preserve"> setValueToTime(C192)</f>
        <v>3h 10 min</v>
      </c>
      <c r="E192" s="96"/>
      <c r="F192" s="179"/>
      <c r="G192" s="180"/>
      <c r="H192" s="152"/>
    </row>
    <row r="193" spans="2:8" s="43" customFormat="1" ht="15" thickBot="1" x14ac:dyDescent="0.35">
      <c r="B193" s="60"/>
      <c r="C193" s="60"/>
      <c r="D193" s="60"/>
      <c r="E193" s="60"/>
      <c r="F193" s="60"/>
      <c r="G193" s="60"/>
      <c r="H193" s="152"/>
    </row>
    <row r="194" spans="2:8" s="39" customFormat="1" ht="30" customHeight="1" thickBot="1" x14ac:dyDescent="0.3">
      <c r="B194" s="129" t="s">
        <v>33</v>
      </c>
      <c r="C194" s="137">
        <v>11</v>
      </c>
      <c r="D194" s="137"/>
      <c r="E194" s="130" t="s">
        <v>34</v>
      </c>
      <c r="F194" s="131" t="s">
        <v>103</v>
      </c>
      <c r="G194" s="132" t="s">
        <v>77</v>
      </c>
      <c r="H194" s="151"/>
    </row>
    <row r="195" spans="2:8" s="39" customFormat="1" ht="30" customHeight="1" thickBot="1" x14ac:dyDescent="0.3">
      <c r="B195" s="61" t="s">
        <v>35</v>
      </c>
      <c r="C195" s="134" t="s">
        <v>36</v>
      </c>
      <c r="D195" s="133"/>
      <c r="E195" s="61" t="s">
        <v>37</v>
      </c>
      <c r="F195" s="173" t="s">
        <v>38</v>
      </c>
      <c r="G195" s="174"/>
      <c r="H195" s="151"/>
    </row>
    <row r="196" spans="2:8" s="43" customFormat="1" ht="40.5" x14ac:dyDescent="0.3">
      <c r="B196" s="40" t="s">
        <v>51</v>
      </c>
      <c r="C196" s="41">
        <v>18</v>
      </c>
      <c r="D196" s="125" t="str">
        <f xml:space="preserve"> IF(C196="","",setValueToTime(C196))</f>
        <v>1h 30 min</v>
      </c>
      <c r="E196" s="42" t="s">
        <v>142</v>
      </c>
      <c r="F196" s="175"/>
      <c r="G196" s="176"/>
      <c r="H196" s="152"/>
    </row>
    <row r="197" spans="2:8" s="43" customFormat="1" ht="40.5" x14ac:dyDescent="0.3">
      <c r="B197" s="44" t="s">
        <v>47</v>
      </c>
      <c r="C197" s="45">
        <v>30</v>
      </c>
      <c r="D197" s="126" t="str">
        <f t="shared" ref="D197:D203" si="17" xml:space="preserve"> IF(C197="","",setValueToTime(C197))</f>
        <v>2h 30 min</v>
      </c>
      <c r="E197" s="46" t="s">
        <v>144</v>
      </c>
      <c r="F197" s="177"/>
      <c r="G197" s="178"/>
      <c r="H197" s="152"/>
    </row>
    <row r="198" spans="2:8" s="43" customFormat="1" x14ac:dyDescent="0.3">
      <c r="B198" s="44"/>
      <c r="C198" s="45"/>
      <c r="D198" s="126" t="str">
        <f t="shared" si="17"/>
        <v/>
      </c>
      <c r="E198" s="46"/>
      <c r="F198" s="177"/>
      <c r="G198" s="178"/>
      <c r="H198" s="152"/>
    </row>
    <row r="199" spans="2:8" s="43" customFormat="1" x14ac:dyDescent="0.3">
      <c r="B199" s="44"/>
      <c r="C199" s="45"/>
      <c r="D199" s="126" t="str">
        <f t="shared" si="17"/>
        <v/>
      </c>
      <c r="E199" s="46"/>
      <c r="F199" s="177"/>
      <c r="G199" s="178"/>
      <c r="H199" s="152"/>
    </row>
    <row r="200" spans="2:8" s="43" customFormat="1" x14ac:dyDescent="0.3">
      <c r="B200" s="45"/>
      <c r="C200" s="45"/>
      <c r="D200" s="127" t="str">
        <f t="shared" si="17"/>
        <v/>
      </c>
      <c r="E200" s="46"/>
      <c r="F200" s="177"/>
      <c r="G200" s="178"/>
      <c r="H200" s="152"/>
    </row>
    <row r="201" spans="2:8" s="43" customFormat="1" x14ac:dyDescent="0.3">
      <c r="B201" s="45"/>
      <c r="C201" s="45"/>
      <c r="D201" s="127" t="str">
        <f t="shared" si="17"/>
        <v/>
      </c>
      <c r="E201" s="46"/>
      <c r="F201" s="177"/>
      <c r="G201" s="178"/>
      <c r="H201" s="152"/>
    </row>
    <row r="202" spans="2:8" s="43" customFormat="1" x14ac:dyDescent="0.3">
      <c r="B202" s="45"/>
      <c r="C202" s="45"/>
      <c r="D202" s="127" t="str">
        <f t="shared" si="17"/>
        <v/>
      </c>
      <c r="E202" s="46"/>
      <c r="F202" s="177"/>
      <c r="G202" s="178"/>
      <c r="H202" s="152"/>
    </row>
    <row r="203" spans="2:8" s="43" customFormat="1" ht="15" thickBot="1" x14ac:dyDescent="0.35">
      <c r="B203" s="47"/>
      <c r="C203" s="47"/>
      <c r="D203" s="128" t="str">
        <f t="shared" si="17"/>
        <v/>
      </c>
      <c r="E203" s="48"/>
      <c r="F203" s="181"/>
      <c r="G203" s="182"/>
      <c r="H203" s="152"/>
    </row>
    <row r="204" spans="2:8" s="43" customFormat="1" ht="15" thickBot="1" x14ac:dyDescent="0.35">
      <c r="B204" s="135" t="s">
        <v>40</v>
      </c>
      <c r="C204" s="66">
        <f>SUM(C196:C203)</f>
        <v>48</v>
      </c>
      <c r="D204" s="135" t="str">
        <f xml:space="preserve"> setValueToTime(C204)</f>
        <v>4h</v>
      </c>
      <c r="E204" s="96"/>
      <c r="F204" s="179"/>
      <c r="G204" s="180"/>
      <c r="H204" s="152"/>
    </row>
    <row r="205" spans="2:8" s="43" customFormat="1" ht="15" thickBot="1" x14ac:dyDescent="0.35">
      <c r="B205" s="60"/>
      <c r="C205" s="60"/>
      <c r="D205" s="60"/>
      <c r="E205" s="60"/>
      <c r="F205" s="60"/>
      <c r="G205" s="60"/>
      <c r="H205" s="152"/>
    </row>
    <row r="206" spans="2:8" s="39" customFormat="1" ht="30" customHeight="1" thickBot="1" x14ac:dyDescent="0.3">
      <c r="B206" s="129" t="s">
        <v>33</v>
      </c>
      <c r="C206" s="137">
        <v>10</v>
      </c>
      <c r="D206" s="137"/>
      <c r="E206" s="130" t="s">
        <v>34</v>
      </c>
      <c r="F206" s="131" t="s">
        <v>106</v>
      </c>
      <c r="G206" s="132" t="s">
        <v>76</v>
      </c>
      <c r="H206" s="151"/>
    </row>
    <row r="207" spans="2:8" s="39" customFormat="1" ht="30" customHeight="1" thickBot="1" x14ac:dyDescent="0.3">
      <c r="B207" s="61" t="s">
        <v>35</v>
      </c>
      <c r="C207" s="134" t="s">
        <v>36</v>
      </c>
      <c r="D207" s="133"/>
      <c r="E207" s="61" t="s">
        <v>37</v>
      </c>
      <c r="F207" s="173" t="s">
        <v>38</v>
      </c>
      <c r="G207" s="174"/>
      <c r="H207" s="151"/>
    </row>
    <row r="208" spans="2:8" s="43" customFormat="1" ht="27" x14ac:dyDescent="0.3">
      <c r="B208" s="40" t="s">
        <v>30</v>
      </c>
      <c r="C208" s="41">
        <v>8</v>
      </c>
      <c r="D208" s="125" t="str">
        <f xml:space="preserve"> IF(C208="","",setValueToTime(C208))</f>
        <v xml:space="preserve"> 40 min</v>
      </c>
      <c r="E208" s="42" t="s">
        <v>141</v>
      </c>
      <c r="F208" s="175"/>
      <c r="G208" s="176"/>
      <c r="H208" s="152"/>
    </row>
    <row r="209" spans="2:8" s="43" customFormat="1" ht="40.5" x14ac:dyDescent="0.3">
      <c r="B209" s="44" t="s">
        <v>50</v>
      </c>
      <c r="C209" s="45">
        <v>19</v>
      </c>
      <c r="D209" s="126" t="str">
        <f t="shared" ref="D209:D215" si="18" xml:space="preserve"> IF(C209="","",setValueToTime(C209))</f>
        <v>1h 35 min</v>
      </c>
      <c r="E209" s="46" t="s">
        <v>143</v>
      </c>
      <c r="F209" s="177"/>
      <c r="G209" s="178"/>
      <c r="H209" s="152"/>
    </row>
    <row r="210" spans="2:8" s="43" customFormat="1" ht="27" x14ac:dyDescent="0.3">
      <c r="B210" s="44" t="s">
        <v>29</v>
      </c>
      <c r="C210" s="45">
        <v>2</v>
      </c>
      <c r="D210" s="126" t="str">
        <f t="shared" si="18"/>
        <v xml:space="preserve"> 10 min</v>
      </c>
      <c r="E210" s="46"/>
      <c r="F210" s="177"/>
      <c r="G210" s="178"/>
      <c r="H210" s="152"/>
    </row>
    <row r="211" spans="2:8" s="43" customFormat="1" x14ac:dyDescent="0.3">
      <c r="B211" s="44"/>
      <c r="C211" s="45"/>
      <c r="D211" s="126" t="str">
        <f t="shared" si="18"/>
        <v/>
      </c>
      <c r="E211" s="46"/>
      <c r="F211" s="177"/>
      <c r="G211" s="178"/>
      <c r="H211" s="152"/>
    </row>
    <row r="212" spans="2:8" s="43" customFormat="1" x14ac:dyDescent="0.3">
      <c r="B212" s="45"/>
      <c r="C212" s="45"/>
      <c r="D212" s="127" t="str">
        <f t="shared" si="18"/>
        <v/>
      </c>
      <c r="E212" s="46"/>
      <c r="F212" s="177"/>
      <c r="G212" s="178"/>
      <c r="H212" s="152"/>
    </row>
    <row r="213" spans="2:8" s="43" customFormat="1" x14ac:dyDescent="0.3">
      <c r="B213" s="45"/>
      <c r="C213" s="45"/>
      <c r="D213" s="127" t="str">
        <f t="shared" si="18"/>
        <v/>
      </c>
      <c r="E213" s="46"/>
      <c r="F213" s="177"/>
      <c r="G213" s="178"/>
      <c r="H213" s="152"/>
    </row>
    <row r="214" spans="2:8" s="43" customFormat="1" x14ac:dyDescent="0.3">
      <c r="B214" s="45"/>
      <c r="C214" s="45"/>
      <c r="D214" s="127" t="str">
        <f t="shared" si="18"/>
        <v/>
      </c>
      <c r="E214" s="46"/>
      <c r="F214" s="177"/>
      <c r="G214" s="178"/>
      <c r="H214" s="152"/>
    </row>
    <row r="215" spans="2:8" s="43" customFormat="1" ht="15" thickBot="1" x14ac:dyDescent="0.35">
      <c r="B215" s="47"/>
      <c r="C215" s="47"/>
      <c r="D215" s="128" t="str">
        <f t="shared" si="18"/>
        <v/>
      </c>
      <c r="E215" s="48"/>
      <c r="F215" s="181"/>
      <c r="G215" s="182"/>
      <c r="H215" s="152"/>
    </row>
    <row r="216" spans="2:8" s="43" customFormat="1" ht="15" thickBot="1" x14ac:dyDescent="0.35">
      <c r="B216" s="135" t="s">
        <v>40</v>
      </c>
      <c r="C216" s="66">
        <f>SUM(C208:C215)</f>
        <v>29</v>
      </c>
      <c r="D216" s="135" t="str">
        <f xml:space="preserve"> setValueToTime(C216)</f>
        <v>2h 25 min</v>
      </c>
      <c r="E216" s="96"/>
      <c r="F216" s="179"/>
      <c r="G216" s="180"/>
      <c r="H216" s="152"/>
    </row>
    <row r="217" spans="2:8" s="43" customFormat="1" ht="15" thickBot="1" x14ac:dyDescent="0.35">
      <c r="B217" s="60"/>
      <c r="C217" s="60"/>
      <c r="D217" s="60"/>
      <c r="E217" s="60"/>
      <c r="F217" s="60"/>
      <c r="G217" s="60"/>
      <c r="H217" s="152"/>
    </row>
    <row r="218" spans="2:8" s="39" customFormat="1" ht="30" customHeight="1" thickBot="1" x14ac:dyDescent="0.3">
      <c r="B218" s="129" t="s">
        <v>33</v>
      </c>
      <c r="C218" s="137">
        <v>9</v>
      </c>
      <c r="D218" s="137"/>
      <c r="E218" s="130" t="s">
        <v>34</v>
      </c>
      <c r="F218" s="131" t="s">
        <v>106</v>
      </c>
      <c r="G218" s="132" t="s">
        <v>77</v>
      </c>
      <c r="H218" s="151"/>
    </row>
    <row r="219" spans="2:8" s="39" customFormat="1" ht="30" customHeight="1" thickBot="1" x14ac:dyDescent="0.3">
      <c r="B219" s="61" t="s">
        <v>35</v>
      </c>
      <c r="C219" s="134" t="s">
        <v>36</v>
      </c>
      <c r="D219" s="133"/>
      <c r="E219" s="61" t="s">
        <v>37</v>
      </c>
      <c r="F219" s="173" t="s">
        <v>38</v>
      </c>
      <c r="G219" s="174"/>
      <c r="H219" s="151"/>
    </row>
    <row r="220" spans="2:8" s="43" customFormat="1" ht="40.5" x14ac:dyDescent="0.3">
      <c r="B220" s="40" t="s">
        <v>73</v>
      </c>
      <c r="C220" s="41">
        <v>6</v>
      </c>
      <c r="D220" s="125" t="str">
        <f xml:space="preserve"> IF(C220="","",setValueToTime(C220))</f>
        <v xml:space="preserve"> 30 min</v>
      </c>
      <c r="E220" s="42" t="s">
        <v>139</v>
      </c>
      <c r="F220" s="175"/>
      <c r="G220" s="176"/>
      <c r="H220" s="152"/>
    </row>
    <row r="221" spans="2:8" s="43" customFormat="1" ht="27" x14ac:dyDescent="0.3">
      <c r="B221" s="44" t="s">
        <v>30</v>
      </c>
      <c r="C221" s="45">
        <v>30</v>
      </c>
      <c r="D221" s="126" t="str">
        <f t="shared" ref="D221:D227" si="19" xml:space="preserve"> IF(C221="","",setValueToTime(C221))</f>
        <v>2h 30 min</v>
      </c>
      <c r="E221" s="46" t="s">
        <v>140</v>
      </c>
      <c r="F221" s="177"/>
      <c r="G221" s="178"/>
      <c r="H221" s="152"/>
    </row>
    <row r="222" spans="2:8" s="43" customFormat="1" ht="27" x14ac:dyDescent="0.3">
      <c r="B222" s="44" t="s">
        <v>29</v>
      </c>
      <c r="C222" s="45">
        <v>2</v>
      </c>
      <c r="D222" s="126" t="str">
        <f t="shared" si="19"/>
        <v xml:space="preserve"> 10 min</v>
      </c>
      <c r="E222" s="46"/>
      <c r="F222" s="177"/>
      <c r="G222" s="178"/>
      <c r="H222" s="152"/>
    </row>
    <row r="223" spans="2:8" s="43" customFormat="1" x14ac:dyDescent="0.3">
      <c r="B223" s="44"/>
      <c r="C223" s="45"/>
      <c r="D223" s="126" t="str">
        <f t="shared" si="19"/>
        <v/>
      </c>
      <c r="E223" s="46"/>
      <c r="F223" s="177"/>
      <c r="G223" s="178"/>
      <c r="H223" s="152"/>
    </row>
    <row r="224" spans="2:8" s="43" customFormat="1" x14ac:dyDescent="0.3">
      <c r="B224" s="45"/>
      <c r="C224" s="45"/>
      <c r="D224" s="127" t="str">
        <f t="shared" si="19"/>
        <v/>
      </c>
      <c r="E224" s="46"/>
      <c r="F224" s="177"/>
      <c r="G224" s="178"/>
      <c r="H224" s="152"/>
    </row>
    <row r="225" spans="2:8" s="43" customFormat="1" x14ac:dyDescent="0.3">
      <c r="B225" s="45"/>
      <c r="C225" s="45"/>
      <c r="D225" s="127" t="str">
        <f t="shared" si="19"/>
        <v/>
      </c>
      <c r="E225" s="46"/>
      <c r="F225" s="177"/>
      <c r="G225" s="178"/>
      <c r="H225" s="152"/>
    </row>
    <row r="226" spans="2:8" s="43" customFormat="1" x14ac:dyDescent="0.3">
      <c r="B226" s="45"/>
      <c r="C226" s="45"/>
      <c r="D226" s="127" t="str">
        <f t="shared" si="19"/>
        <v/>
      </c>
      <c r="E226" s="46"/>
      <c r="F226" s="177"/>
      <c r="G226" s="178"/>
      <c r="H226" s="152"/>
    </row>
    <row r="227" spans="2:8" s="43" customFormat="1" ht="15" thickBot="1" x14ac:dyDescent="0.35">
      <c r="B227" s="47"/>
      <c r="C227" s="47"/>
      <c r="D227" s="128" t="str">
        <f t="shared" si="19"/>
        <v/>
      </c>
      <c r="E227" s="48"/>
      <c r="F227" s="181"/>
      <c r="G227" s="182"/>
      <c r="H227" s="152"/>
    </row>
    <row r="228" spans="2:8" s="43" customFormat="1" ht="15" thickBot="1" x14ac:dyDescent="0.35">
      <c r="B228" s="135" t="s">
        <v>40</v>
      </c>
      <c r="C228" s="66">
        <f>SUM(C220:C227)</f>
        <v>38</v>
      </c>
      <c r="D228" s="135" t="str">
        <f xml:space="preserve"> setValueToTime(C228)</f>
        <v>3h 10 min</v>
      </c>
      <c r="E228" s="96"/>
      <c r="F228" s="179"/>
      <c r="G228" s="180"/>
      <c r="H228" s="152"/>
    </row>
    <row r="229" spans="2:8" s="43" customFormat="1" ht="15" thickBot="1" x14ac:dyDescent="0.35">
      <c r="B229" s="60"/>
      <c r="C229" s="60"/>
      <c r="D229" s="60"/>
      <c r="E229" s="60"/>
      <c r="F229" s="60"/>
      <c r="G229" s="60"/>
      <c r="H229" s="152"/>
    </row>
    <row r="230" spans="2:8" s="39" customFormat="1" ht="30" customHeight="1" thickBot="1" x14ac:dyDescent="0.3">
      <c r="B230" s="129" t="s">
        <v>33</v>
      </c>
      <c r="C230" s="137">
        <v>8</v>
      </c>
      <c r="D230" s="137"/>
      <c r="E230" s="130" t="s">
        <v>34</v>
      </c>
      <c r="F230" s="131" t="s">
        <v>109</v>
      </c>
      <c r="G230" s="132" t="s">
        <v>76</v>
      </c>
      <c r="H230" s="151"/>
    </row>
    <row r="231" spans="2:8" s="39" customFormat="1" ht="30" customHeight="1" thickBot="1" x14ac:dyDescent="0.3">
      <c r="B231" s="61" t="s">
        <v>35</v>
      </c>
      <c r="C231" s="134" t="s">
        <v>36</v>
      </c>
      <c r="D231" s="133"/>
      <c r="E231" s="61" t="s">
        <v>37</v>
      </c>
      <c r="F231" s="173" t="s">
        <v>38</v>
      </c>
      <c r="G231" s="174"/>
      <c r="H231" s="151"/>
    </row>
    <row r="232" spans="2:8" s="43" customFormat="1" ht="40.5" x14ac:dyDescent="0.3">
      <c r="B232" s="40" t="s">
        <v>73</v>
      </c>
      <c r="C232" s="41">
        <v>36</v>
      </c>
      <c r="D232" s="125" t="str">
        <f xml:space="preserve"> IF(C232="","",setValueToTime(C232))</f>
        <v>3h</v>
      </c>
      <c r="E232" s="42" t="s">
        <v>138</v>
      </c>
      <c r="F232" s="175"/>
      <c r="G232" s="176"/>
      <c r="H232" s="152"/>
    </row>
    <row r="233" spans="2:8" s="43" customFormat="1" ht="27" x14ac:dyDescent="0.3">
      <c r="B233" s="44" t="s">
        <v>29</v>
      </c>
      <c r="C233" s="45">
        <v>2</v>
      </c>
      <c r="D233" s="126" t="str">
        <f t="shared" ref="D233:D239" si="20" xml:space="preserve"> IF(C233="","",setValueToTime(C233))</f>
        <v xml:space="preserve"> 10 min</v>
      </c>
      <c r="E233" s="46"/>
      <c r="F233" s="177"/>
      <c r="G233" s="178"/>
      <c r="H233" s="152"/>
    </row>
    <row r="234" spans="2:8" s="43" customFormat="1" x14ac:dyDescent="0.3">
      <c r="B234" s="44"/>
      <c r="C234" s="45"/>
      <c r="D234" s="126" t="str">
        <f t="shared" si="20"/>
        <v/>
      </c>
      <c r="E234" s="46"/>
      <c r="F234" s="177"/>
      <c r="G234" s="178"/>
      <c r="H234" s="152"/>
    </row>
    <row r="235" spans="2:8" s="43" customFormat="1" x14ac:dyDescent="0.3">
      <c r="B235" s="44"/>
      <c r="C235" s="45"/>
      <c r="D235" s="126" t="str">
        <f t="shared" si="20"/>
        <v/>
      </c>
      <c r="E235" s="46"/>
      <c r="F235" s="177"/>
      <c r="G235" s="178"/>
      <c r="H235" s="152"/>
    </row>
    <row r="236" spans="2:8" s="43" customFormat="1" x14ac:dyDescent="0.3">
      <c r="B236" s="45"/>
      <c r="C236" s="45"/>
      <c r="D236" s="127" t="str">
        <f t="shared" si="20"/>
        <v/>
      </c>
      <c r="E236" s="46"/>
      <c r="F236" s="177"/>
      <c r="G236" s="178"/>
      <c r="H236" s="152"/>
    </row>
    <row r="237" spans="2:8" s="43" customFormat="1" x14ac:dyDescent="0.3">
      <c r="B237" s="45"/>
      <c r="C237" s="45"/>
      <c r="D237" s="127" t="str">
        <f t="shared" si="20"/>
        <v/>
      </c>
      <c r="E237" s="46"/>
      <c r="F237" s="177"/>
      <c r="G237" s="178"/>
      <c r="H237" s="152"/>
    </row>
    <row r="238" spans="2:8" s="43" customFormat="1" x14ac:dyDescent="0.3">
      <c r="B238" s="45"/>
      <c r="C238" s="45"/>
      <c r="D238" s="127" t="str">
        <f t="shared" si="20"/>
        <v/>
      </c>
      <c r="E238" s="46"/>
      <c r="F238" s="177"/>
      <c r="G238" s="178"/>
      <c r="H238" s="152"/>
    </row>
    <row r="239" spans="2:8" s="43" customFormat="1" ht="15" thickBot="1" x14ac:dyDescent="0.35">
      <c r="B239" s="47"/>
      <c r="C239" s="47"/>
      <c r="D239" s="128" t="str">
        <f t="shared" si="20"/>
        <v/>
      </c>
      <c r="E239" s="48"/>
      <c r="F239" s="181"/>
      <c r="G239" s="182"/>
      <c r="H239" s="152"/>
    </row>
    <row r="240" spans="2:8" s="43" customFormat="1" ht="15" thickBot="1" x14ac:dyDescent="0.35">
      <c r="B240" s="135" t="s">
        <v>40</v>
      </c>
      <c r="C240" s="66">
        <f>SUM(C232:C239)</f>
        <v>38</v>
      </c>
      <c r="D240" s="135" t="str">
        <f xml:space="preserve"> setValueToTime(C240)</f>
        <v>3h 10 min</v>
      </c>
      <c r="E240" s="96"/>
      <c r="F240" s="179"/>
      <c r="G240" s="180"/>
      <c r="H240" s="152"/>
    </row>
    <row r="241" spans="2:8" s="43" customFormat="1" ht="15" thickBot="1" x14ac:dyDescent="0.35">
      <c r="B241" s="60"/>
      <c r="C241" s="60"/>
      <c r="D241" s="60"/>
      <c r="E241" s="60"/>
      <c r="F241" s="60"/>
      <c r="G241" s="60"/>
      <c r="H241" s="152"/>
    </row>
    <row r="242" spans="2:8" s="39" customFormat="1" ht="30" customHeight="1" thickBot="1" x14ac:dyDescent="0.3">
      <c r="B242" s="129" t="s">
        <v>33</v>
      </c>
      <c r="C242" s="137">
        <v>7</v>
      </c>
      <c r="D242" s="137"/>
      <c r="E242" s="130" t="s">
        <v>34</v>
      </c>
      <c r="F242" s="131" t="s">
        <v>109</v>
      </c>
      <c r="G242" s="132" t="s">
        <v>77</v>
      </c>
      <c r="H242" s="151"/>
    </row>
    <row r="243" spans="2:8" s="39" customFormat="1" ht="30" customHeight="1" thickBot="1" x14ac:dyDescent="0.3">
      <c r="B243" s="61" t="s">
        <v>35</v>
      </c>
      <c r="C243" s="134" t="s">
        <v>36</v>
      </c>
      <c r="D243" s="133"/>
      <c r="E243" s="61" t="s">
        <v>37</v>
      </c>
      <c r="F243" s="173" t="s">
        <v>38</v>
      </c>
      <c r="G243" s="174"/>
      <c r="H243" s="151"/>
    </row>
    <row r="244" spans="2:8" s="43" customFormat="1" ht="40.5" x14ac:dyDescent="0.3">
      <c r="B244" s="40" t="s">
        <v>73</v>
      </c>
      <c r="C244" s="41">
        <v>48</v>
      </c>
      <c r="D244" s="125" t="str">
        <f xml:space="preserve"> IF(C244="","",setValueToTime(C244))</f>
        <v>4h</v>
      </c>
      <c r="E244" s="42" t="s">
        <v>137</v>
      </c>
      <c r="F244" s="175"/>
      <c r="G244" s="176"/>
      <c r="H244" s="152"/>
    </row>
    <row r="245" spans="2:8" s="43" customFormat="1" x14ac:dyDescent="0.3">
      <c r="B245" s="44"/>
      <c r="C245" s="45"/>
      <c r="D245" s="126" t="str">
        <f t="shared" ref="D245:D251" si="21" xml:space="preserve"> IF(C245="","",setValueToTime(C245))</f>
        <v/>
      </c>
      <c r="E245" s="46"/>
      <c r="F245" s="177"/>
      <c r="G245" s="178"/>
      <c r="H245" s="152"/>
    </row>
    <row r="246" spans="2:8" s="43" customFormat="1" x14ac:dyDescent="0.3">
      <c r="B246" s="44"/>
      <c r="C246" s="45"/>
      <c r="D246" s="126" t="str">
        <f t="shared" si="21"/>
        <v/>
      </c>
      <c r="E246" s="46"/>
      <c r="F246" s="177"/>
      <c r="G246" s="178"/>
      <c r="H246" s="152"/>
    </row>
    <row r="247" spans="2:8" s="43" customFormat="1" x14ac:dyDescent="0.3">
      <c r="B247" s="44"/>
      <c r="C247" s="45"/>
      <c r="D247" s="126" t="str">
        <f t="shared" si="21"/>
        <v/>
      </c>
      <c r="E247" s="46"/>
      <c r="F247" s="177"/>
      <c r="G247" s="178"/>
      <c r="H247" s="152"/>
    </row>
    <row r="248" spans="2:8" s="43" customFormat="1" x14ac:dyDescent="0.3">
      <c r="B248" s="45"/>
      <c r="C248" s="45"/>
      <c r="D248" s="127" t="str">
        <f t="shared" si="21"/>
        <v/>
      </c>
      <c r="E248" s="46"/>
      <c r="F248" s="177"/>
      <c r="G248" s="178"/>
      <c r="H248" s="152"/>
    </row>
    <row r="249" spans="2:8" s="43" customFormat="1" x14ac:dyDescent="0.3">
      <c r="B249" s="45"/>
      <c r="C249" s="45"/>
      <c r="D249" s="127" t="str">
        <f t="shared" si="21"/>
        <v/>
      </c>
      <c r="E249" s="46"/>
      <c r="F249" s="177"/>
      <c r="G249" s="178"/>
      <c r="H249" s="152"/>
    </row>
    <row r="250" spans="2:8" s="43" customFormat="1" x14ac:dyDescent="0.3">
      <c r="B250" s="45"/>
      <c r="C250" s="45"/>
      <c r="D250" s="127" t="str">
        <f t="shared" si="21"/>
        <v/>
      </c>
      <c r="E250" s="46"/>
      <c r="F250" s="177"/>
      <c r="G250" s="178"/>
      <c r="H250" s="152"/>
    </row>
    <row r="251" spans="2:8" s="43" customFormat="1" ht="15" thickBot="1" x14ac:dyDescent="0.35">
      <c r="B251" s="47"/>
      <c r="C251" s="47"/>
      <c r="D251" s="128" t="str">
        <f t="shared" si="21"/>
        <v/>
      </c>
      <c r="E251" s="48"/>
      <c r="F251" s="181"/>
      <c r="G251" s="182"/>
      <c r="H251" s="152"/>
    </row>
    <row r="252" spans="2:8" s="43" customFormat="1" ht="15" thickBot="1" x14ac:dyDescent="0.35">
      <c r="B252" s="135" t="s">
        <v>40</v>
      </c>
      <c r="C252" s="66">
        <f>SUM(C244:C251)</f>
        <v>48</v>
      </c>
      <c r="D252" s="135" t="str">
        <f xml:space="preserve"> setValueToTime(C252)</f>
        <v>4h</v>
      </c>
      <c r="E252" s="96"/>
      <c r="F252" s="179"/>
      <c r="G252" s="180"/>
      <c r="H252" s="152"/>
    </row>
    <row r="253" spans="2:8" s="43" customFormat="1" ht="15" thickBot="1" x14ac:dyDescent="0.35">
      <c r="B253" s="60"/>
      <c r="C253" s="60"/>
      <c r="D253" s="60"/>
      <c r="E253" s="60"/>
      <c r="F253" s="60"/>
      <c r="G253" s="60"/>
      <c r="H253" s="152"/>
    </row>
    <row r="254" spans="2:8" s="39" customFormat="1" ht="30" customHeight="1" thickBot="1" x14ac:dyDescent="0.3">
      <c r="B254" s="129" t="s">
        <v>33</v>
      </c>
      <c r="C254" s="137">
        <v>6</v>
      </c>
      <c r="D254" s="137"/>
      <c r="E254" s="130" t="s">
        <v>34</v>
      </c>
      <c r="F254" s="131" t="s">
        <v>112</v>
      </c>
      <c r="G254" s="132" t="s">
        <v>76</v>
      </c>
      <c r="H254" s="151"/>
    </row>
    <row r="255" spans="2:8" s="39" customFormat="1" ht="30" customHeight="1" thickBot="1" x14ac:dyDescent="0.3">
      <c r="B255" s="61" t="s">
        <v>35</v>
      </c>
      <c r="C255" s="134" t="s">
        <v>36</v>
      </c>
      <c r="D255" s="133"/>
      <c r="E255" s="61" t="s">
        <v>37</v>
      </c>
      <c r="F255" s="173" t="s">
        <v>38</v>
      </c>
      <c r="G255" s="174"/>
      <c r="H255" s="151"/>
    </row>
    <row r="256" spans="2:8" s="43" customFormat="1" ht="40.5" x14ac:dyDescent="0.3">
      <c r="B256" s="40" t="s">
        <v>30</v>
      </c>
      <c r="C256" s="41">
        <v>32</v>
      </c>
      <c r="D256" s="125" t="str">
        <f xml:space="preserve"> IF(C256="","",setValueToTime(C256))</f>
        <v>2h 40 min</v>
      </c>
      <c r="E256" s="42" t="s">
        <v>135</v>
      </c>
      <c r="F256" s="175"/>
      <c r="G256" s="176"/>
      <c r="H256" s="152"/>
    </row>
    <row r="257" spans="2:8" s="43" customFormat="1" ht="40.5" x14ac:dyDescent="0.3">
      <c r="B257" s="44" t="s">
        <v>73</v>
      </c>
      <c r="C257" s="45">
        <v>4</v>
      </c>
      <c r="D257" s="126" t="str">
        <f t="shared" ref="D257:D263" si="22" xml:space="preserve"> IF(C257="","",setValueToTime(C257))</f>
        <v xml:space="preserve"> 20 min</v>
      </c>
      <c r="E257" s="46" t="s">
        <v>136</v>
      </c>
      <c r="F257" s="177"/>
      <c r="G257" s="178"/>
      <c r="H257" s="152"/>
    </row>
    <row r="258" spans="2:8" s="43" customFormat="1" ht="27" x14ac:dyDescent="0.3">
      <c r="B258" s="44" t="s">
        <v>29</v>
      </c>
      <c r="C258" s="45">
        <v>2</v>
      </c>
      <c r="D258" s="126" t="str">
        <f t="shared" si="22"/>
        <v xml:space="preserve"> 10 min</v>
      </c>
      <c r="E258" s="46"/>
      <c r="F258" s="177"/>
      <c r="G258" s="178"/>
      <c r="H258" s="152"/>
    </row>
    <row r="259" spans="2:8" s="43" customFormat="1" x14ac:dyDescent="0.3">
      <c r="B259" s="44"/>
      <c r="C259" s="45"/>
      <c r="D259" s="126" t="str">
        <f t="shared" si="22"/>
        <v/>
      </c>
      <c r="E259" s="46"/>
      <c r="F259" s="177"/>
      <c r="G259" s="178"/>
      <c r="H259" s="152"/>
    </row>
    <row r="260" spans="2:8" s="43" customFormat="1" x14ac:dyDescent="0.3">
      <c r="B260" s="45"/>
      <c r="C260" s="45"/>
      <c r="D260" s="127" t="str">
        <f t="shared" si="22"/>
        <v/>
      </c>
      <c r="E260" s="46"/>
      <c r="F260" s="177"/>
      <c r="G260" s="178"/>
      <c r="H260" s="152"/>
    </row>
    <row r="261" spans="2:8" s="43" customFormat="1" x14ac:dyDescent="0.3">
      <c r="B261" s="45"/>
      <c r="C261" s="45"/>
      <c r="D261" s="127" t="str">
        <f t="shared" si="22"/>
        <v/>
      </c>
      <c r="E261" s="46"/>
      <c r="F261" s="177"/>
      <c r="G261" s="178"/>
      <c r="H261" s="152"/>
    </row>
    <row r="262" spans="2:8" s="43" customFormat="1" x14ac:dyDescent="0.3">
      <c r="B262" s="45"/>
      <c r="C262" s="45"/>
      <c r="D262" s="127" t="str">
        <f t="shared" si="22"/>
        <v/>
      </c>
      <c r="E262" s="46"/>
      <c r="F262" s="177"/>
      <c r="G262" s="178"/>
      <c r="H262" s="152"/>
    </row>
    <row r="263" spans="2:8" s="43" customFormat="1" ht="15" thickBot="1" x14ac:dyDescent="0.35">
      <c r="B263" s="47"/>
      <c r="C263" s="47"/>
      <c r="D263" s="128" t="str">
        <f t="shared" si="22"/>
        <v/>
      </c>
      <c r="E263" s="48"/>
      <c r="F263" s="181"/>
      <c r="G263" s="182"/>
      <c r="H263" s="152"/>
    </row>
    <row r="264" spans="2:8" s="43" customFormat="1" ht="15" thickBot="1" x14ac:dyDescent="0.35">
      <c r="B264" s="135" t="s">
        <v>40</v>
      </c>
      <c r="C264" s="66">
        <f>SUM(C256:C263)</f>
        <v>38</v>
      </c>
      <c r="D264" s="135" t="str">
        <f xml:space="preserve"> setValueToTime(C264)</f>
        <v>3h 10 min</v>
      </c>
      <c r="E264" s="96"/>
      <c r="F264" s="179"/>
      <c r="G264" s="180"/>
      <c r="H264" s="152"/>
    </row>
    <row r="265" spans="2:8" s="43" customFormat="1" ht="15" thickBot="1" x14ac:dyDescent="0.35">
      <c r="B265" s="60"/>
      <c r="C265" s="60"/>
      <c r="D265" s="60"/>
      <c r="E265" s="60"/>
      <c r="F265" s="60"/>
      <c r="G265" s="60"/>
      <c r="H265" s="152"/>
    </row>
    <row r="266" spans="2:8" s="39" customFormat="1" ht="30" customHeight="1" thickBot="1" x14ac:dyDescent="0.3">
      <c r="B266" s="129" t="s">
        <v>33</v>
      </c>
      <c r="C266" s="137">
        <v>5</v>
      </c>
      <c r="D266" s="137"/>
      <c r="E266" s="130" t="s">
        <v>34</v>
      </c>
      <c r="F266" s="131" t="s">
        <v>112</v>
      </c>
      <c r="G266" s="132" t="s">
        <v>77</v>
      </c>
      <c r="H266" s="151"/>
    </row>
    <row r="267" spans="2:8" s="39" customFormat="1" ht="30" customHeight="1" thickBot="1" x14ac:dyDescent="0.3">
      <c r="B267" s="61" t="s">
        <v>35</v>
      </c>
      <c r="C267" s="134" t="s">
        <v>36</v>
      </c>
      <c r="D267" s="133"/>
      <c r="E267" s="61" t="s">
        <v>37</v>
      </c>
      <c r="F267" s="173" t="s">
        <v>38</v>
      </c>
      <c r="G267" s="174"/>
      <c r="H267" s="151"/>
    </row>
    <row r="268" spans="2:8" s="43" customFormat="1" ht="40.5" x14ac:dyDescent="0.3">
      <c r="B268" s="40" t="s">
        <v>30</v>
      </c>
      <c r="C268" s="41">
        <v>48</v>
      </c>
      <c r="D268" s="125" t="str">
        <f xml:space="preserve"> IF(C268="","",setValueToTime(C268))</f>
        <v>4h</v>
      </c>
      <c r="E268" s="42" t="s">
        <v>134</v>
      </c>
      <c r="F268" s="175"/>
      <c r="G268" s="176"/>
      <c r="H268" s="152"/>
    </row>
    <row r="269" spans="2:8" s="43" customFormat="1" x14ac:dyDescent="0.3">
      <c r="B269" s="44"/>
      <c r="C269" s="45"/>
      <c r="D269" s="126" t="str">
        <f t="shared" ref="D269:D275" si="23" xml:space="preserve"> IF(C269="","",setValueToTime(C269))</f>
        <v/>
      </c>
      <c r="E269" s="46"/>
      <c r="F269" s="177"/>
      <c r="G269" s="178"/>
      <c r="H269" s="152"/>
    </row>
    <row r="270" spans="2:8" s="43" customFormat="1" x14ac:dyDescent="0.3">
      <c r="B270" s="44"/>
      <c r="C270" s="45"/>
      <c r="D270" s="126" t="str">
        <f t="shared" si="23"/>
        <v/>
      </c>
      <c r="E270" s="46"/>
      <c r="F270" s="177"/>
      <c r="G270" s="178"/>
      <c r="H270" s="152"/>
    </row>
    <row r="271" spans="2:8" s="43" customFormat="1" x14ac:dyDescent="0.3">
      <c r="B271" s="44"/>
      <c r="C271" s="45"/>
      <c r="D271" s="126" t="str">
        <f t="shared" si="23"/>
        <v/>
      </c>
      <c r="E271" s="46"/>
      <c r="F271" s="177"/>
      <c r="G271" s="178"/>
      <c r="H271" s="152"/>
    </row>
    <row r="272" spans="2:8" s="43" customFormat="1" x14ac:dyDescent="0.3">
      <c r="B272" s="45"/>
      <c r="C272" s="45"/>
      <c r="D272" s="127" t="str">
        <f t="shared" si="23"/>
        <v/>
      </c>
      <c r="E272" s="46"/>
      <c r="F272" s="177"/>
      <c r="G272" s="178"/>
      <c r="H272" s="152"/>
    </row>
    <row r="273" spans="2:8" s="43" customFormat="1" x14ac:dyDescent="0.3">
      <c r="B273" s="45"/>
      <c r="C273" s="45"/>
      <c r="D273" s="127" t="str">
        <f t="shared" si="23"/>
        <v/>
      </c>
      <c r="E273" s="46"/>
      <c r="F273" s="177"/>
      <c r="G273" s="178"/>
      <c r="H273" s="152"/>
    </row>
    <row r="274" spans="2:8" s="43" customFormat="1" x14ac:dyDescent="0.3">
      <c r="B274" s="45"/>
      <c r="C274" s="45"/>
      <c r="D274" s="127" t="str">
        <f t="shared" si="23"/>
        <v/>
      </c>
      <c r="E274" s="46"/>
      <c r="F274" s="177"/>
      <c r="G274" s="178"/>
      <c r="H274" s="152"/>
    </row>
    <row r="275" spans="2:8" s="43" customFormat="1" ht="15" thickBot="1" x14ac:dyDescent="0.35">
      <c r="B275" s="47"/>
      <c r="C275" s="47"/>
      <c r="D275" s="128" t="str">
        <f t="shared" si="23"/>
        <v/>
      </c>
      <c r="E275" s="48"/>
      <c r="F275" s="181"/>
      <c r="G275" s="182"/>
      <c r="H275" s="152"/>
    </row>
    <row r="276" spans="2:8" s="43" customFormat="1" ht="15" thickBot="1" x14ac:dyDescent="0.35">
      <c r="B276" s="135" t="s">
        <v>40</v>
      </c>
      <c r="C276" s="66">
        <f>SUM(C268:C275)</f>
        <v>48</v>
      </c>
      <c r="D276" s="135" t="str">
        <f xml:space="preserve"> setValueToTime(C276)</f>
        <v>4h</v>
      </c>
      <c r="E276" s="96"/>
      <c r="F276" s="179"/>
      <c r="G276" s="180"/>
      <c r="H276" s="152"/>
    </row>
    <row r="277" spans="2:8" s="43" customFormat="1" ht="15" thickBot="1" x14ac:dyDescent="0.35">
      <c r="B277" s="60"/>
      <c r="C277" s="60"/>
      <c r="D277" s="60"/>
      <c r="E277" s="60"/>
      <c r="F277" s="60"/>
      <c r="G277" s="60"/>
      <c r="H277" s="152"/>
    </row>
    <row r="278" spans="2:8" s="39" customFormat="1" ht="30" customHeight="1" thickBot="1" x14ac:dyDescent="0.3">
      <c r="B278" s="129" t="s">
        <v>33</v>
      </c>
      <c r="C278" s="137">
        <v>4</v>
      </c>
      <c r="D278" s="137"/>
      <c r="E278" s="130" t="s">
        <v>34</v>
      </c>
      <c r="F278" s="131" t="s">
        <v>115</v>
      </c>
      <c r="G278" s="132" t="s">
        <v>76</v>
      </c>
      <c r="H278" s="151"/>
    </row>
    <row r="279" spans="2:8" s="39" customFormat="1" ht="30" customHeight="1" thickBot="1" x14ac:dyDescent="0.3">
      <c r="B279" s="61" t="s">
        <v>35</v>
      </c>
      <c r="C279" s="134" t="s">
        <v>36</v>
      </c>
      <c r="D279" s="133"/>
      <c r="E279" s="61" t="s">
        <v>37</v>
      </c>
      <c r="F279" s="173" t="s">
        <v>38</v>
      </c>
      <c r="G279" s="174"/>
      <c r="H279" s="151"/>
    </row>
    <row r="280" spans="2:8" s="43" customFormat="1" x14ac:dyDescent="0.3">
      <c r="B280" s="40" t="s">
        <v>30</v>
      </c>
      <c r="C280" s="41">
        <v>25</v>
      </c>
      <c r="D280" s="125" t="str">
        <f xml:space="preserve"> IF(C280="","",setValueToTime(C280))</f>
        <v>2h 5 min</v>
      </c>
      <c r="E280" s="42" t="s">
        <v>133</v>
      </c>
      <c r="F280" s="175"/>
      <c r="G280" s="176"/>
      <c r="H280" s="152"/>
    </row>
    <row r="281" spans="2:8" s="43" customFormat="1" ht="27" x14ac:dyDescent="0.3">
      <c r="B281" s="44" t="s">
        <v>29</v>
      </c>
      <c r="C281" s="45">
        <v>3</v>
      </c>
      <c r="D281" s="126" t="str">
        <f t="shared" ref="D281:D287" si="24" xml:space="preserve"> IF(C281="","",setValueToTime(C281))</f>
        <v xml:space="preserve"> 15 min</v>
      </c>
      <c r="E281" s="46"/>
      <c r="F281" s="177"/>
      <c r="G281" s="178"/>
      <c r="H281" s="152"/>
    </row>
    <row r="282" spans="2:8" s="43" customFormat="1" x14ac:dyDescent="0.3">
      <c r="B282" s="44"/>
      <c r="C282" s="45"/>
      <c r="D282" s="126" t="str">
        <f t="shared" si="24"/>
        <v/>
      </c>
      <c r="E282" s="46"/>
      <c r="F282" s="177"/>
      <c r="G282" s="178"/>
      <c r="H282" s="152"/>
    </row>
    <row r="283" spans="2:8" s="43" customFormat="1" x14ac:dyDescent="0.3">
      <c r="B283" s="44"/>
      <c r="C283" s="45"/>
      <c r="D283" s="126" t="str">
        <f t="shared" si="24"/>
        <v/>
      </c>
      <c r="E283" s="46"/>
      <c r="F283" s="177"/>
      <c r="G283" s="178"/>
      <c r="H283" s="152"/>
    </row>
    <row r="284" spans="2:8" s="43" customFormat="1" x14ac:dyDescent="0.3">
      <c r="B284" s="45"/>
      <c r="C284" s="45"/>
      <c r="D284" s="127" t="str">
        <f t="shared" si="24"/>
        <v/>
      </c>
      <c r="E284" s="46"/>
      <c r="F284" s="177"/>
      <c r="G284" s="178"/>
      <c r="H284" s="152"/>
    </row>
    <row r="285" spans="2:8" s="43" customFormat="1" x14ac:dyDescent="0.3">
      <c r="B285" s="45"/>
      <c r="C285" s="45"/>
      <c r="D285" s="127" t="str">
        <f t="shared" si="24"/>
        <v/>
      </c>
      <c r="E285" s="46"/>
      <c r="F285" s="177"/>
      <c r="G285" s="178"/>
      <c r="H285" s="152"/>
    </row>
    <row r="286" spans="2:8" s="43" customFormat="1" x14ac:dyDescent="0.3">
      <c r="B286" s="45"/>
      <c r="C286" s="45"/>
      <c r="D286" s="127" t="str">
        <f t="shared" si="24"/>
        <v/>
      </c>
      <c r="E286" s="46"/>
      <c r="F286" s="177"/>
      <c r="G286" s="178"/>
      <c r="H286" s="152"/>
    </row>
    <row r="287" spans="2:8" s="43" customFormat="1" ht="15" thickBot="1" x14ac:dyDescent="0.35">
      <c r="B287" s="47"/>
      <c r="C287" s="47"/>
      <c r="D287" s="128" t="str">
        <f t="shared" si="24"/>
        <v/>
      </c>
      <c r="E287" s="48"/>
      <c r="F287" s="181"/>
      <c r="G287" s="182"/>
      <c r="H287" s="152"/>
    </row>
    <row r="288" spans="2:8" s="43" customFormat="1" ht="15" thickBot="1" x14ac:dyDescent="0.35">
      <c r="B288" s="135" t="s">
        <v>40</v>
      </c>
      <c r="C288" s="66">
        <f>SUM(C280:C287)</f>
        <v>28</v>
      </c>
      <c r="D288" s="135" t="str">
        <f xml:space="preserve"> setValueToTime(C288)</f>
        <v>2h 20 min</v>
      </c>
      <c r="E288" s="96"/>
      <c r="F288" s="179"/>
      <c r="G288" s="180"/>
      <c r="H288" s="152"/>
    </row>
    <row r="289" spans="2:8" s="43" customFormat="1" ht="15" thickBot="1" x14ac:dyDescent="0.35">
      <c r="B289" s="60"/>
      <c r="C289" s="60"/>
      <c r="D289" s="60"/>
      <c r="E289" s="60"/>
      <c r="F289" s="60"/>
      <c r="G289" s="60"/>
      <c r="H289" s="152"/>
    </row>
    <row r="290" spans="2:8" s="39" customFormat="1" ht="30" customHeight="1" thickBot="1" x14ac:dyDescent="0.3">
      <c r="B290" s="129" t="s">
        <v>33</v>
      </c>
      <c r="C290" s="137">
        <v>3</v>
      </c>
      <c r="D290" s="137"/>
      <c r="E290" s="130" t="s">
        <v>34</v>
      </c>
      <c r="F290" s="131" t="s">
        <v>115</v>
      </c>
      <c r="G290" s="132" t="s">
        <v>77</v>
      </c>
      <c r="H290" s="151"/>
    </row>
    <row r="291" spans="2:8" s="39" customFormat="1" ht="30" customHeight="1" thickBot="1" x14ac:dyDescent="0.3">
      <c r="B291" s="61" t="s">
        <v>35</v>
      </c>
      <c r="C291" s="134" t="s">
        <v>36</v>
      </c>
      <c r="D291" s="133"/>
      <c r="E291" s="61" t="s">
        <v>37</v>
      </c>
      <c r="F291" s="173" t="s">
        <v>38</v>
      </c>
      <c r="G291" s="174"/>
      <c r="H291" s="151"/>
    </row>
    <row r="292" spans="2:8" s="43" customFormat="1" ht="27" x14ac:dyDescent="0.3">
      <c r="B292" s="40" t="s">
        <v>43</v>
      </c>
      <c r="C292" s="41">
        <v>28</v>
      </c>
      <c r="D292" s="125" t="str">
        <f xml:space="preserve"> IF(C292="","",setValueToTime(C292))</f>
        <v>2h 20 min</v>
      </c>
      <c r="E292" s="42" t="s">
        <v>131</v>
      </c>
      <c r="F292" s="175"/>
      <c r="G292" s="176"/>
      <c r="H292" s="152"/>
    </row>
    <row r="293" spans="2:8" s="43" customFormat="1" x14ac:dyDescent="0.3">
      <c r="B293" s="44" t="s">
        <v>30</v>
      </c>
      <c r="C293" s="45">
        <v>20</v>
      </c>
      <c r="D293" s="126" t="str">
        <f t="shared" ref="D293:D299" si="25" xml:space="preserve"> IF(C293="","",setValueToTime(C293))</f>
        <v>1h 40 min</v>
      </c>
      <c r="E293" s="46" t="s">
        <v>132</v>
      </c>
      <c r="F293" s="177"/>
      <c r="G293" s="178"/>
      <c r="H293" s="152"/>
    </row>
    <row r="294" spans="2:8" s="43" customFormat="1" x14ac:dyDescent="0.3">
      <c r="B294" s="44"/>
      <c r="C294" s="45"/>
      <c r="D294" s="126" t="str">
        <f t="shared" si="25"/>
        <v/>
      </c>
      <c r="E294" s="46"/>
      <c r="F294" s="177"/>
      <c r="G294" s="178"/>
      <c r="H294" s="152"/>
    </row>
    <row r="295" spans="2:8" s="43" customFormat="1" x14ac:dyDescent="0.3">
      <c r="B295" s="44"/>
      <c r="C295" s="45"/>
      <c r="D295" s="126" t="str">
        <f t="shared" si="25"/>
        <v/>
      </c>
      <c r="E295" s="46"/>
      <c r="F295" s="177"/>
      <c r="G295" s="178"/>
      <c r="H295" s="152"/>
    </row>
    <row r="296" spans="2:8" s="43" customFormat="1" x14ac:dyDescent="0.3">
      <c r="B296" s="45"/>
      <c r="C296" s="45"/>
      <c r="D296" s="127" t="str">
        <f t="shared" si="25"/>
        <v/>
      </c>
      <c r="E296" s="46"/>
      <c r="F296" s="177"/>
      <c r="G296" s="178"/>
      <c r="H296" s="152"/>
    </row>
    <row r="297" spans="2:8" s="43" customFormat="1" x14ac:dyDescent="0.3">
      <c r="B297" s="45"/>
      <c r="C297" s="45"/>
      <c r="D297" s="127" t="str">
        <f t="shared" si="25"/>
        <v/>
      </c>
      <c r="E297" s="46"/>
      <c r="F297" s="177"/>
      <c r="G297" s="178"/>
      <c r="H297" s="152"/>
    </row>
    <row r="298" spans="2:8" s="43" customFormat="1" x14ac:dyDescent="0.3">
      <c r="B298" s="45"/>
      <c r="C298" s="45"/>
      <c r="D298" s="127" t="str">
        <f t="shared" si="25"/>
        <v/>
      </c>
      <c r="E298" s="46"/>
      <c r="F298" s="177"/>
      <c r="G298" s="178"/>
      <c r="H298" s="152"/>
    </row>
    <row r="299" spans="2:8" s="43" customFormat="1" ht="15" thickBot="1" x14ac:dyDescent="0.35">
      <c r="B299" s="47"/>
      <c r="C299" s="47"/>
      <c r="D299" s="128" t="str">
        <f t="shared" si="25"/>
        <v/>
      </c>
      <c r="E299" s="48"/>
      <c r="F299" s="181"/>
      <c r="G299" s="182"/>
      <c r="H299" s="152"/>
    </row>
    <row r="300" spans="2:8" s="43" customFormat="1" ht="15" thickBot="1" x14ac:dyDescent="0.35">
      <c r="B300" s="135" t="s">
        <v>40</v>
      </c>
      <c r="C300" s="66">
        <f>SUM(C292:C299)</f>
        <v>48</v>
      </c>
      <c r="D300" s="135" t="str">
        <f xml:space="preserve"> setValueToTime(C300)</f>
        <v>4h</v>
      </c>
      <c r="E300" s="96"/>
      <c r="F300" s="179"/>
      <c r="G300" s="180"/>
      <c r="H300" s="152"/>
    </row>
    <row r="301" spans="2:8" s="43" customFormat="1" ht="15" thickBot="1" x14ac:dyDescent="0.35">
      <c r="B301" s="60"/>
      <c r="C301" s="60"/>
      <c r="D301" s="60"/>
      <c r="E301" s="60"/>
      <c r="F301" s="60"/>
      <c r="G301" s="60"/>
      <c r="H301" s="152"/>
    </row>
    <row r="302" spans="2:8" s="39" customFormat="1" ht="30" customHeight="1" thickBot="1" x14ac:dyDescent="0.3">
      <c r="B302" s="129" t="s">
        <v>33</v>
      </c>
      <c r="C302" s="137">
        <v>2</v>
      </c>
      <c r="D302" s="137"/>
      <c r="E302" s="130" t="s">
        <v>34</v>
      </c>
      <c r="F302" s="131" t="s">
        <v>116</v>
      </c>
      <c r="G302" s="132" t="s">
        <v>76</v>
      </c>
      <c r="H302" s="151"/>
    </row>
    <row r="303" spans="2:8" s="39" customFormat="1" ht="30" customHeight="1" thickBot="1" x14ac:dyDescent="0.3">
      <c r="B303" s="61" t="s">
        <v>35</v>
      </c>
      <c r="C303" s="134" t="s">
        <v>36</v>
      </c>
      <c r="D303" s="133"/>
      <c r="E303" s="61" t="s">
        <v>37</v>
      </c>
      <c r="F303" s="173" t="s">
        <v>38</v>
      </c>
      <c r="G303" s="174"/>
      <c r="H303" s="151"/>
    </row>
    <row r="304" spans="2:8" s="43" customFormat="1" ht="27" x14ac:dyDescent="0.3">
      <c r="B304" s="40" t="s">
        <v>28</v>
      </c>
      <c r="C304" s="41">
        <v>23</v>
      </c>
      <c r="D304" s="125" t="str">
        <f xml:space="preserve"> IF(C304="","",setValueToTime(C304))</f>
        <v>1h 55 min</v>
      </c>
      <c r="E304" s="42" t="s">
        <v>129</v>
      </c>
      <c r="F304" s="175"/>
      <c r="G304" s="176"/>
      <c r="H304" s="152"/>
    </row>
    <row r="305" spans="2:8" s="43" customFormat="1" ht="27" x14ac:dyDescent="0.3">
      <c r="B305" s="44" t="s">
        <v>60</v>
      </c>
      <c r="C305" s="45">
        <v>2</v>
      </c>
      <c r="D305" s="126" t="str">
        <f t="shared" ref="D305:D311" si="26" xml:space="preserve"> IF(C305="","",setValueToTime(C305))</f>
        <v xml:space="preserve"> 10 min</v>
      </c>
      <c r="E305" s="46" t="s">
        <v>130</v>
      </c>
      <c r="F305" s="177"/>
      <c r="G305" s="178"/>
      <c r="H305" s="152"/>
    </row>
    <row r="306" spans="2:8" s="43" customFormat="1" ht="27" x14ac:dyDescent="0.3">
      <c r="B306" s="44" t="s">
        <v>29</v>
      </c>
      <c r="C306" s="45">
        <v>3</v>
      </c>
      <c r="D306" s="126" t="str">
        <f t="shared" ref="D306" si="27" xml:space="preserve"> IF(C306="","",setValueToTime(C306))</f>
        <v xml:space="preserve"> 15 min</v>
      </c>
      <c r="E306" s="46" t="s">
        <v>128</v>
      </c>
      <c r="F306" s="177"/>
      <c r="G306" s="178"/>
      <c r="H306" s="152"/>
    </row>
    <row r="307" spans="2:8" s="43" customFormat="1" x14ac:dyDescent="0.3">
      <c r="B307" s="44"/>
      <c r="C307" s="45"/>
      <c r="D307" s="126" t="str">
        <f t="shared" si="26"/>
        <v/>
      </c>
      <c r="E307" s="46"/>
      <c r="F307" s="177"/>
      <c r="G307" s="178"/>
      <c r="H307" s="152"/>
    </row>
    <row r="308" spans="2:8" s="43" customFormat="1" x14ac:dyDescent="0.3">
      <c r="B308" s="45"/>
      <c r="C308" s="45"/>
      <c r="D308" s="127" t="str">
        <f t="shared" si="26"/>
        <v/>
      </c>
      <c r="E308" s="46"/>
      <c r="F308" s="177"/>
      <c r="G308" s="178"/>
      <c r="H308" s="152"/>
    </row>
    <row r="309" spans="2:8" s="43" customFormat="1" x14ac:dyDescent="0.3">
      <c r="B309" s="45"/>
      <c r="C309" s="45"/>
      <c r="D309" s="127" t="str">
        <f t="shared" si="26"/>
        <v/>
      </c>
      <c r="E309" s="46"/>
      <c r="F309" s="177"/>
      <c r="G309" s="178"/>
      <c r="H309" s="152"/>
    </row>
    <row r="310" spans="2:8" s="43" customFormat="1" x14ac:dyDescent="0.3">
      <c r="B310" s="45"/>
      <c r="C310" s="45"/>
      <c r="D310" s="127" t="str">
        <f t="shared" si="26"/>
        <v/>
      </c>
      <c r="E310" s="46"/>
      <c r="F310" s="177"/>
      <c r="G310" s="178"/>
      <c r="H310" s="152"/>
    </row>
    <row r="311" spans="2:8" s="43" customFormat="1" ht="15" thickBot="1" x14ac:dyDescent="0.35">
      <c r="B311" s="47"/>
      <c r="C311" s="47"/>
      <c r="D311" s="128" t="str">
        <f t="shared" si="26"/>
        <v/>
      </c>
      <c r="E311" s="48"/>
      <c r="F311" s="181"/>
      <c r="G311" s="182"/>
      <c r="H311" s="152"/>
    </row>
    <row r="312" spans="2:8" s="43" customFormat="1" ht="15" thickBot="1" x14ac:dyDescent="0.35">
      <c r="B312" s="135" t="s">
        <v>40</v>
      </c>
      <c r="C312" s="66">
        <f>SUM(C304:C311)</f>
        <v>28</v>
      </c>
      <c r="D312" s="135" t="str">
        <f xml:space="preserve"> setValueToTime(C312)</f>
        <v>2h 20 min</v>
      </c>
      <c r="E312" s="96"/>
      <c r="F312" s="179"/>
      <c r="G312" s="180"/>
      <c r="H312" s="152"/>
    </row>
    <row r="313" spans="2:8" s="43" customFormat="1" ht="15" thickBot="1" x14ac:dyDescent="0.35">
      <c r="B313" s="60"/>
      <c r="C313" s="60"/>
      <c r="D313" s="60"/>
      <c r="E313" s="60"/>
      <c r="F313" s="60"/>
      <c r="G313" s="60"/>
      <c r="H313" s="152"/>
    </row>
    <row r="314" spans="2:8" s="39" customFormat="1" ht="30" customHeight="1" thickBot="1" x14ac:dyDescent="0.3">
      <c r="B314" s="129" t="s">
        <v>33</v>
      </c>
      <c r="C314" s="137">
        <v>1</v>
      </c>
      <c r="D314" s="137"/>
      <c r="E314" s="130" t="s">
        <v>34</v>
      </c>
      <c r="F314" s="131" t="s">
        <v>116</v>
      </c>
      <c r="G314" s="132" t="s">
        <v>77</v>
      </c>
      <c r="H314" s="151"/>
    </row>
    <row r="315" spans="2:8" s="39" customFormat="1" ht="30" customHeight="1" thickBot="1" x14ac:dyDescent="0.3">
      <c r="B315" s="61" t="s">
        <v>35</v>
      </c>
      <c r="C315" s="134" t="s">
        <v>36</v>
      </c>
      <c r="D315" s="133"/>
      <c r="E315" s="61" t="s">
        <v>37</v>
      </c>
      <c r="F315" s="173" t="s">
        <v>38</v>
      </c>
      <c r="G315" s="174"/>
      <c r="H315" s="151"/>
    </row>
    <row r="316" spans="2:8" s="43" customFormat="1" ht="27" x14ac:dyDescent="0.3">
      <c r="B316" s="40" t="s">
        <v>61</v>
      </c>
      <c r="C316" s="41">
        <v>9</v>
      </c>
      <c r="D316" s="125" t="str">
        <f xml:space="preserve"> IF(C316="","",setValueToTime(C316))</f>
        <v xml:space="preserve"> 45 min</v>
      </c>
      <c r="E316" s="42" t="s">
        <v>127</v>
      </c>
      <c r="F316" s="175"/>
      <c r="G316" s="176"/>
      <c r="H316" s="152"/>
    </row>
    <row r="317" spans="2:8" s="43" customFormat="1" ht="27" x14ac:dyDescent="0.3">
      <c r="B317" s="44" t="s">
        <v>42</v>
      </c>
      <c r="C317" s="45">
        <v>5</v>
      </c>
      <c r="D317" s="126" t="str">
        <f t="shared" ref="D317:D323" si="28" xml:space="preserve"> IF(C317="","",setValueToTime(C317))</f>
        <v xml:space="preserve"> 25 min</v>
      </c>
      <c r="E317" s="46" t="s">
        <v>126</v>
      </c>
      <c r="F317" s="177"/>
      <c r="G317" s="178"/>
      <c r="H317" s="152"/>
    </row>
    <row r="318" spans="2:8" s="43" customFormat="1" ht="27" x14ac:dyDescent="0.3">
      <c r="B318" s="44" t="s">
        <v>60</v>
      </c>
      <c r="C318" s="45">
        <v>3</v>
      </c>
      <c r="D318" s="126" t="str">
        <f t="shared" si="28"/>
        <v xml:space="preserve"> 15 min</v>
      </c>
      <c r="E318" s="46" t="s">
        <v>125</v>
      </c>
      <c r="F318" s="177"/>
      <c r="G318" s="178"/>
      <c r="H318" s="152"/>
    </row>
    <row r="319" spans="2:8" s="43" customFormat="1" ht="27" x14ac:dyDescent="0.3">
      <c r="B319" s="44" t="s">
        <v>70</v>
      </c>
      <c r="C319" s="45">
        <v>2</v>
      </c>
      <c r="D319" s="126" t="str">
        <f t="shared" si="28"/>
        <v xml:space="preserve"> 10 min</v>
      </c>
      <c r="E319" s="46" t="s">
        <v>124</v>
      </c>
      <c r="F319" s="177"/>
      <c r="G319" s="178"/>
      <c r="H319" s="152"/>
    </row>
    <row r="320" spans="2:8" s="43" customFormat="1" ht="27" x14ac:dyDescent="0.3">
      <c r="B320" s="45" t="s">
        <v>28</v>
      </c>
      <c r="C320" s="45">
        <v>19</v>
      </c>
      <c r="D320" s="127" t="str">
        <f t="shared" si="28"/>
        <v>1h 35 min</v>
      </c>
      <c r="E320" s="46" t="s">
        <v>123</v>
      </c>
      <c r="F320" s="177"/>
      <c r="G320" s="178"/>
      <c r="H320" s="152"/>
    </row>
    <row r="321" spans="2:8" s="43" customFormat="1" x14ac:dyDescent="0.3">
      <c r="B321" s="45"/>
      <c r="C321" s="45"/>
      <c r="D321" s="127" t="str">
        <f t="shared" si="28"/>
        <v/>
      </c>
      <c r="E321" s="46"/>
      <c r="F321" s="177"/>
      <c r="G321" s="178"/>
      <c r="H321" s="152"/>
    </row>
    <row r="322" spans="2:8" s="43" customFormat="1" x14ac:dyDescent="0.3">
      <c r="B322" s="45"/>
      <c r="C322" s="45"/>
      <c r="D322" s="127" t="str">
        <f t="shared" si="28"/>
        <v/>
      </c>
      <c r="E322" s="46"/>
      <c r="F322" s="177"/>
      <c r="G322" s="178"/>
      <c r="H322" s="152"/>
    </row>
    <row r="323" spans="2:8" s="43" customFormat="1" ht="15" thickBot="1" x14ac:dyDescent="0.35">
      <c r="B323" s="47"/>
      <c r="C323" s="47"/>
      <c r="D323" s="128" t="str">
        <f t="shared" si="28"/>
        <v/>
      </c>
      <c r="E323" s="48"/>
      <c r="F323" s="181"/>
      <c r="G323" s="182"/>
      <c r="H323" s="152"/>
    </row>
    <row r="324" spans="2:8" s="43" customFormat="1" ht="15" thickBot="1" x14ac:dyDescent="0.35">
      <c r="B324" s="135" t="s">
        <v>40</v>
      </c>
      <c r="C324" s="66">
        <f>SUM(C316:C323)</f>
        <v>38</v>
      </c>
      <c r="D324" s="135" t="str">
        <f xml:space="preserve"> setValueToTime(C324)</f>
        <v>3h 10 min</v>
      </c>
      <c r="E324" s="96"/>
      <c r="F324" s="179"/>
      <c r="G324" s="180"/>
      <c r="H324" s="152"/>
    </row>
    <row r="325" spans="2:8" s="43" customFormat="1" x14ac:dyDescent="0.3">
      <c r="B325" s="60"/>
      <c r="C325" s="60"/>
      <c r="D325" s="60"/>
      <c r="E325" s="60"/>
      <c r="F325" s="60"/>
      <c r="G325" s="60"/>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55" priority="27" operator="greaterThan">
      <formula>60</formula>
    </cfRule>
  </conditionalFormatting>
  <conditionalFormatting sqref="C312">
    <cfRule type="cellIs" dxfId="54" priority="26" operator="greaterThan">
      <formula>60</formula>
    </cfRule>
  </conditionalFormatting>
  <conditionalFormatting sqref="C300">
    <cfRule type="cellIs" dxfId="53" priority="25" operator="greaterThan">
      <formula>60</formula>
    </cfRule>
  </conditionalFormatting>
  <conditionalFormatting sqref="C288">
    <cfRule type="cellIs" dxfId="52" priority="24" operator="greaterThan">
      <formula>60</formula>
    </cfRule>
  </conditionalFormatting>
  <conditionalFormatting sqref="C276">
    <cfRule type="cellIs" dxfId="51" priority="23" operator="greaterThan">
      <formula>60</formula>
    </cfRule>
  </conditionalFormatting>
  <conditionalFormatting sqref="C264">
    <cfRule type="cellIs" dxfId="50" priority="22" operator="greaterThan">
      <formula>60</formula>
    </cfRule>
  </conditionalFormatting>
  <conditionalFormatting sqref="C252">
    <cfRule type="cellIs" dxfId="49" priority="21" operator="greaterThan">
      <formula>60</formula>
    </cfRule>
  </conditionalFormatting>
  <conditionalFormatting sqref="C240">
    <cfRule type="cellIs" dxfId="48" priority="20" operator="greaterThan">
      <formula>60</formula>
    </cfRule>
  </conditionalFormatting>
  <conditionalFormatting sqref="C228">
    <cfRule type="cellIs" dxfId="47" priority="19" operator="greaterThan">
      <formula>60</formula>
    </cfRule>
  </conditionalFormatting>
  <conditionalFormatting sqref="C216">
    <cfRule type="cellIs" dxfId="46" priority="18" operator="greaterThan">
      <formula>60</formula>
    </cfRule>
  </conditionalFormatting>
  <conditionalFormatting sqref="C204">
    <cfRule type="cellIs" dxfId="45" priority="17" operator="greaterThan">
      <formula>60</formula>
    </cfRule>
  </conditionalFormatting>
  <conditionalFormatting sqref="C192">
    <cfRule type="cellIs" dxfId="44" priority="16" operator="greaterThan">
      <formula>60</formula>
    </cfRule>
  </conditionalFormatting>
  <conditionalFormatting sqref="C180">
    <cfRule type="cellIs" dxfId="43" priority="15" operator="greaterThan">
      <formula>60</formula>
    </cfRule>
  </conditionalFormatting>
  <conditionalFormatting sqref="C168">
    <cfRule type="cellIs" dxfId="42" priority="14" operator="greaterThan">
      <formula>60</formula>
    </cfRule>
  </conditionalFormatting>
  <conditionalFormatting sqref="C156">
    <cfRule type="cellIs" dxfId="41" priority="13" operator="greaterThan">
      <formula>60</formula>
    </cfRule>
  </conditionalFormatting>
  <conditionalFormatting sqref="C144">
    <cfRule type="cellIs" dxfId="40" priority="12" operator="greaterThan">
      <formula>60</formula>
    </cfRule>
  </conditionalFormatting>
  <conditionalFormatting sqref="C132">
    <cfRule type="cellIs" dxfId="39" priority="11" operator="greaterThan">
      <formula>60</formula>
    </cfRule>
  </conditionalFormatting>
  <conditionalFormatting sqref="C120">
    <cfRule type="cellIs" dxfId="38" priority="10" operator="greaterThan">
      <formula>60</formula>
    </cfRule>
  </conditionalFormatting>
  <conditionalFormatting sqref="C108">
    <cfRule type="cellIs" dxfId="37" priority="9" operator="greaterThan">
      <formula>60</formula>
    </cfRule>
  </conditionalFormatting>
  <conditionalFormatting sqref="C96">
    <cfRule type="cellIs" dxfId="36" priority="8" operator="greaterThan">
      <formula>60</formula>
    </cfRule>
  </conditionalFormatting>
  <conditionalFormatting sqref="C84">
    <cfRule type="cellIs" dxfId="35" priority="7" operator="greaterThan">
      <formula>60</formula>
    </cfRule>
  </conditionalFormatting>
  <conditionalFormatting sqref="C72">
    <cfRule type="cellIs" dxfId="34" priority="6" operator="greaterThan">
      <formula>60</formula>
    </cfRule>
  </conditionalFormatting>
  <conditionalFormatting sqref="C60">
    <cfRule type="cellIs" dxfId="33" priority="5" operator="greaterThan">
      <formula>60</formula>
    </cfRule>
  </conditionalFormatting>
  <conditionalFormatting sqref="C48">
    <cfRule type="cellIs" dxfId="32" priority="4"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6:C323 C4:C11 C292:C299 C280:C287 C268:C275 C256:C263 C244:C251 C232:C239 C220:C227 C208:C215 C196:C203 C184:C191 C172:C179 C160:C167 C304:C311 C136:C143 C124:C131 C112:C119 C100:C107 C88:C95 C76:C83 C64:C71 C52:C59 C40:C47 C28:C35 C16:C23 C148:C155" xr:uid="{7498809C-C313-400B-BB5A-D3D71DCD862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F08347F-AD47-4B63-A4F6-C27BC6FD781D}">
      <formula1>0</formula1>
      <formula2>60</formula2>
    </dataValidation>
  </dataValidations>
  <hyperlinks>
    <hyperlink ref="F160" r:id="rId1" location="rendering-exceptions" xr:uid="{16B20832-089C-4BBE-9A2B-685CC1EE051E}"/>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3</xdr:col>
                <xdr:colOff>85725</xdr:colOff>
                <xdr:row>0</xdr:row>
                <xdr:rowOff>85725</xdr:rowOff>
              </from>
              <to>
                <xdr:col>4</xdr:col>
                <xdr:colOff>762000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1</xdr:col>
                <xdr:colOff>104775</xdr:colOff>
                <xdr:row>0</xdr:row>
                <xdr:rowOff>85725</xdr:rowOff>
              </from>
              <to>
                <xdr:col>2</xdr:col>
                <xdr:colOff>457200</xdr:colOff>
                <xdr:row>0</xdr:row>
                <xdr:rowOff>552450</xdr:rowOff>
              </to>
            </anchor>
          </controlPr>
        </control>
      </mc:Choice>
      <mc:Fallback>
        <control shapeId="9224" r:id="rId7"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6FF031EA-FF08-4CDF-9826-67368F7A1EEB}">
          <x14:formula1>
            <xm:f>OFFSET(Bilan!$B:$B,14,0,COUNTA(Bilan!$C$15:$C$93))</xm:f>
          </x14:formula1>
          <xm:sqref>B316:B323 B4:B11 B292:B299 B280:B287 B268:B275 B256:B263 B244:B251 B232:B239 B220:B227 B208:B215 B196:B203 B184:B191 B172:B179 B160:B167 B304:B311 B136:B143 B124:B131 B112:B119 B100:B107 B88:B95 B76:B83 B64:B71 B52:B59 B40:B47 B28:B35 B16:B23 B148:B155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73"/>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73"/>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73"/>
    </row>
    <row r="13" spans="1:61" ht="18.75" thickBot="1" x14ac:dyDescent="0.3">
      <c r="A13" s="192" t="s">
        <v>33</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73"/>
    </row>
    <row r="14" spans="1:61" ht="15.75" thickBot="1" x14ac:dyDescent="0.35">
      <c r="A14" s="81"/>
      <c r="B14" s="82"/>
      <c r="C14" s="82"/>
      <c r="D14" s="82"/>
      <c r="E14" s="195" t="s">
        <v>17</v>
      </c>
      <c r="F14" s="195"/>
      <c r="G14" s="195"/>
      <c r="H14" s="195"/>
      <c r="I14" s="82"/>
      <c r="J14" s="82"/>
      <c r="K14" s="196" t="s">
        <v>18</v>
      </c>
      <c r="L14" s="196"/>
      <c r="M14" s="196"/>
      <c r="N14" s="196"/>
      <c r="O14" s="102"/>
      <c r="P14" s="102"/>
      <c r="Q14" s="195" t="s">
        <v>19</v>
      </c>
      <c r="R14" s="195"/>
      <c r="S14" s="195"/>
      <c r="T14" s="195"/>
      <c r="U14" s="82"/>
      <c r="V14" s="82"/>
      <c r="W14" s="196" t="s">
        <v>20</v>
      </c>
      <c r="X14" s="196"/>
      <c r="Y14" s="196"/>
      <c r="Z14" s="196"/>
      <c r="AA14" s="102"/>
      <c r="AB14" s="102"/>
      <c r="AC14" s="195" t="s">
        <v>21</v>
      </c>
      <c r="AD14" s="195"/>
      <c r="AE14" s="195"/>
      <c r="AF14" s="195"/>
      <c r="AG14" s="82"/>
      <c r="AH14" s="82"/>
      <c r="AI14" s="196" t="s">
        <v>22</v>
      </c>
      <c r="AJ14" s="196"/>
      <c r="AK14" s="196"/>
      <c r="AL14" s="196"/>
      <c r="AM14" s="102"/>
      <c r="AN14" s="102"/>
      <c r="AO14" s="195" t="s">
        <v>23</v>
      </c>
      <c r="AP14" s="195"/>
      <c r="AQ14" s="195"/>
      <c r="AR14" s="195"/>
      <c r="AS14" s="82"/>
      <c r="AT14" s="82"/>
      <c r="AU14" s="196" t="s">
        <v>24</v>
      </c>
      <c r="AV14" s="196"/>
      <c r="AW14" s="196"/>
      <c r="AX14" s="196"/>
      <c r="AY14" s="102"/>
      <c r="AZ14" s="102"/>
      <c r="BA14" s="195" t="s">
        <v>25</v>
      </c>
      <c r="BB14" s="195"/>
      <c r="BC14" s="195"/>
      <c r="BD14" s="195"/>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33</v>
      </c>
      <c r="C1" s="136">
        <v>1</v>
      </c>
      <c r="D1" s="136"/>
      <c r="E1" s="65" t="s">
        <v>34</v>
      </c>
      <c r="F1" s="77"/>
      <c r="G1" s="101"/>
      <c r="H1" s="151"/>
    </row>
    <row r="2" spans="2:8" s="39" customFormat="1" ht="30" customHeight="1" thickBot="1" x14ac:dyDescent="0.3">
      <c r="B2" s="63" t="s">
        <v>35</v>
      </c>
      <c r="C2" s="123" t="s">
        <v>36</v>
      </c>
      <c r="D2" s="124"/>
      <c r="E2" s="63" t="s">
        <v>37</v>
      </c>
      <c r="F2" s="222" t="s">
        <v>38</v>
      </c>
      <c r="G2" s="223"/>
      <c r="H2" s="151"/>
    </row>
    <row r="3" spans="2:8" s="43" customFormat="1" x14ac:dyDescent="0.3">
      <c r="B3" s="40" t="s">
        <v>39</v>
      </c>
      <c r="C3" s="41"/>
      <c r="D3" s="125" t="str">
        <f xml:space="preserve"> IF(C3="","",setValueToTime(C3))</f>
        <v/>
      </c>
      <c r="E3" s="42"/>
      <c r="F3" s="175"/>
      <c r="G3" s="176"/>
      <c r="H3" s="152"/>
    </row>
    <row r="4" spans="2:8" s="43" customFormat="1" x14ac:dyDescent="0.3">
      <c r="B4" s="44"/>
      <c r="C4" s="45"/>
      <c r="D4" s="126" t="str">
        <f t="shared" ref="D4:D10" si="0" xml:space="preserve"> IF(C4="","",setValueToTime(C4))</f>
        <v/>
      </c>
      <c r="E4" s="46"/>
      <c r="F4" s="177"/>
      <c r="G4" s="178"/>
      <c r="H4" s="152"/>
    </row>
    <row r="5" spans="2:8" s="43" customFormat="1" x14ac:dyDescent="0.3">
      <c r="B5" s="44"/>
      <c r="C5" s="45"/>
      <c r="D5" s="126" t="str">
        <f t="shared" si="0"/>
        <v/>
      </c>
      <c r="E5" s="46"/>
      <c r="F5" s="177"/>
      <c r="G5" s="178"/>
      <c r="H5" s="152"/>
    </row>
    <row r="6" spans="2:8" s="43" customFormat="1" x14ac:dyDescent="0.3">
      <c r="B6" s="44"/>
      <c r="C6" s="45"/>
      <c r="D6" s="126" t="str">
        <f t="shared" si="0"/>
        <v/>
      </c>
      <c r="E6" s="46"/>
      <c r="F6" s="177"/>
      <c r="G6" s="178"/>
      <c r="H6" s="152"/>
    </row>
    <row r="7" spans="2:8" s="43" customFormat="1" x14ac:dyDescent="0.3">
      <c r="B7" s="44"/>
      <c r="C7" s="45"/>
      <c r="D7" s="127" t="str">
        <f t="shared" si="0"/>
        <v/>
      </c>
      <c r="E7" s="46"/>
      <c r="F7" s="177"/>
      <c r="G7" s="178"/>
      <c r="H7" s="152"/>
    </row>
    <row r="8" spans="2:8" s="43" customFormat="1" x14ac:dyDescent="0.3">
      <c r="B8" s="44"/>
      <c r="C8" s="45"/>
      <c r="D8" s="127" t="str">
        <f t="shared" si="0"/>
        <v/>
      </c>
      <c r="E8" s="46"/>
      <c r="F8" s="177"/>
      <c r="G8" s="178"/>
      <c r="H8" s="152"/>
    </row>
    <row r="9" spans="2:8" s="43" customFormat="1" x14ac:dyDescent="0.3">
      <c r="B9" s="44"/>
      <c r="C9" s="45"/>
      <c r="D9" s="127" t="str">
        <f t="shared" si="0"/>
        <v/>
      </c>
      <c r="E9" s="46"/>
      <c r="F9" s="177"/>
      <c r="G9" s="178"/>
      <c r="H9" s="152"/>
    </row>
    <row r="10" spans="2:8" s="43" customFormat="1" ht="15" thickBot="1" x14ac:dyDescent="0.35">
      <c r="B10" s="44"/>
      <c r="C10" s="47"/>
      <c r="D10" s="128" t="str">
        <f t="shared" si="0"/>
        <v/>
      </c>
      <c r="E10" s="48"/>
      <c r="F10" s="181"/>
      <c r="G10" s="182"/>
      <c r="H10" s="152"/>
    </row>
    <row r="11" spans="2:8" s="43" customFormat="1" ht="15" thickBot="1" x14ac:dyDescent="0.35">
      <c r="B11" s="86" t="s">
        <v>40</v>
      </c>
      <c r="C11" s="67">
        <f>SUM(C3:C10)</f>
        <v>0</v>
      </c>
      <c r="D11" s="86" t="str">
        <f xml:space="preserve"> setValueToTime(C11)</f>
        <v/>
      </c>
      <c r="E11" s="95"/>
      <c r="F11" s="224"/>
      <c r="G11" s="225"/>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33</v>
      </c>
      <c r="C1" s="137">
        <v>1</v>
      </c>
      <c r="D1" s="137"/>
      <c r="E1" s="130" t="s">
        <v>34</v>
      </c>
      <c r="F1" s="131"/>
      <c r="G1" s="132"/>
      <c r="H1" s="151"/>
    </row>
    <row r="2" spans="2:8" s="39" customFormat="1" ht="30" customHeight="1" thickBot="1" x14ac:dyDescent="0.3">
      <c r="B2" s="61" t="s">
        <v>35</v>
      </c>
      <c r="C2" s="134" t="s">
        <v>36</v>
      </c>
      <c r="D2" s="133"/>
      <c r="E2" s="61" t="s">
        <v>37</v>
      </c>
      <c r="F2" s="173" t="s">
        <v>38</v>
      </c>
      <c r="G2" s="174"/>
      <c r="H2" s="151"/>
    </row>
    <row r="3" spans="2:8" s="43" customFormat="1" x14ac:dyDescent="0.3">
      <c r="B3" s="40"/>
      <c r="C3" s="41"/>
      <c r="D3" s="125" t="str">
        <f xml:space="preserve"> IF(C3="","",setValueToTime(C3))</f>
        <v/>
      </c>
      <c r="E3" s="42"/>
      <c r="F3" s="175"/>
      <c r="G3" s="176"/>
      <c r="H3" s="152"/>
    </row>
    <row r="4" spans="2:8" s="43" customFormat="1" x14ac:dyDescent="0.3">
      <c r="B4" s="44"/>
      <c r="C4" s="45"/>
      <c r="D4" s="126" t="str">
        <f t="shared" ref="D4:D10" si="0" xml:space="preserve"> IF(C4="","",setValueToTime(C4))</f>
        <v/>
      </c>
      <c r="E4" s="46"/>
      <c r="F4" s="177"/>
      <c r="G4" s="178"/>
      <c r="H4" s="152"/>
    </row>
    <row r="5" spans="2:8" s="43" customFormat="1" x14ac:dyDescent="0.3">
      <c r="B5" s="44"/>
      <c r="C5" s="45"/>
      <c r="D5" s="126" t="str">
        <f t="shared" si="0"/>
        <v/>
      </c>
      <c r="E5" s="46"/>
      <c r="F5" s="177"/>
      <c r="G5" s="178"/>
      <c r="H5" s="152"/>
    </row>
    <row r="6" spans="2:8" s="43" customFormat="1" x14ac:dyDescent="0.3">
      <c r="B6" s="44"/>
      <c r="C6" s="45"/>
      <c r="D6" s="126" t="str">
        <f t="shared" si="0"/>
        <v/>
      </c>
      <c r="E6" s="46"/>
      <c r="F6" s="177"/>
      <c r="G6" s="178"/>
      <c r="H6" s="152"/>
    </row>
    <row r="7" spans="2:8" s="43" customFormat="1" x14ac:dyDescent="0.3">
      <c r="B7" s="45"/>
      <c r="C7" s="45"/>
      <c r="D7" s="127" t="str">
        <f t="shared" si="0"/>
        <v/>
      </c>
      <c r="E7" s="46"/>
      <c r="F7" s="177"/>
      <c r="G7" s="178"/>
      <c r="H7" s="152"/>
    </row>
    <row r="8" spans="2:8" s="43" customFormat="1" x14ac:dyDescent="0.3">
      <c r="B8" s="45"/>
      <c r="C8" s="45"/>
      <c r="D8" s="127" t="str">
        <f t="shared" si="0"/>
        <v/>
      </c>
      <c r="E8" s="46"/>
      <c r="F8" s="177"/>
      <c r="G8" s="178"/>
      <c r="H8" s="152"/>
    </row>
    <row r="9" spans="2:8" s="43" customFormat="1" x14ac:dyDescent="0.3">
      <c r="B9" s="45"/>
      <c r="C9" s="45"/>
      <c r="D9" s="127" t="str">
        <f t="shared" si="0"/>
        <v/>
      </c>
      <c r="E9" s="46"/>
      <c r="F9" s="177"/>
      <c r="G9" s="178"/>
      <c r="H9" s="152"/>
    </row>
    <row r="10" spans="2:8" s="43" customFormat="1" ht="15" thickBot="1" x14ac:dyDescent="0.35">
      <c r="B10" s="47"/>
      <c r="C10" s="47"/>
      <c r="D10" s="128" t="str">
        <f t="shared" si="0"/>
        <v/>
      </c>
      <c r="E10" s="48"/>
      <c r="F10" s="181"/>
      <c r="G10" s="182"/>
      <c r="H10" s="152"/>
    </row>
    <row r="11" spans="2:8" s="43" customFormat="1" ht="15" thickBot="1" x14ac:dyDescent="0.35">
      <c r="B11" s="135" t="s">
        <v>40</v>
      </c>
      <c r="C11" s="66">
        <f>SUM(C3:C10)</f>
        <v>0</v>
      </c>
      <c r="D11" s="135" t="str">
        <f xml:space="preserve"> setValueToTime(C11)</f>
        <v/>
      </c>
      <c r="E11" s="96"/>
      <c r="F11" s="179"/>
      <c r="G11" s="180"/>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Cyril Napoleone</cp:lastModifiedBy>
  <cp:revision/>
  <dcterms:created xsi:type="dcterms:W3CDTF">1996-10-21T11:03:58Z</dcterms:created>
  <dcterms:modified xsi:type="dcterms:W3CDTF">2026-05-20T08:35:44Z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