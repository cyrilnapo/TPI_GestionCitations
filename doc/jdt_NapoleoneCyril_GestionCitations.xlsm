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E65AEA19-AF9A-43E9-89CC-E442A521846A}"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D174" i="12"/>
  <c r="D173" i="12"/>
  <c r="D172" i="12"/>
  <c r="C192" i="12"/>
  <c r="D191" i="12"/>
  <c r="D190" i="12"/>
  <c r="D189" i="12"/>
  <c r="D188" i="12"/>
  <c r="D187" i="12"/>
  <c r="D186" i="12"/>
  <c r="D185" i="12"/>
  <c r="D184" i="12"/>
  <c r="C204" i="12"/>
  <c r="D203" i="12"/>
  <c r="D202" i="12"/>
  <c r="D201" i="12"/>
  <c r="D200" i="12"/>
  <c r="D199" i="12"/>
  <c r="D198" i="12"/>
  <c r="D197" i="12"/>
  <c r="D196" i="12"/>
  <c r="C216" i="12"/>
  <c r="D215" i="12"/>
  <c r="D214" i="12"/>
  <c r="D213" i="12"/>
  <c r="D212" i="12"/>
  <c r="D211" i="12"/>
  <c r="D210" i="12"/>
  <c r="D209" i="12"/>
  <c r="D208" i="12"/>
  <c r="C228" i="12"/>
  <c r="D227" i="12"/>
  <c r="D226" i="12"/>
  <c r="D225" i="12"/>
  <c r="D224" i="12"/>
  <c r="D223" i="12"/>
  <c r="D222" i="12"/>
  <c r="D221" i="12"/>
  <c r="D220"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32" i="12"/>
  <c r="D204" i="12"/>
  <c r="D156" i="12"/>
  <c r="D306" i="12"/>
  <c r="D305" i="12"/>
  <c r="D312" i="12"/>
  <c r="D304" i="12"/>
  <c r="D216" i="12"/>
  <c r="D319" i="12"/>
  <c r="D168" i="12"/>
  <c r="D84" i="12"/>
  <c r="D36" i="12"/>
  <c r="D12" i="12"/>
  <c r="D180" i="12"/>
  <c r="D96" i="12"/>
  <c r="D228" i="12"/>
  <c r="D60" i="12"/>
  <c r="D144" i="12"/>
  <c r="D192" i="12"/>
  <c r="D72" i="12"/>
  <c r="D120" i="12"/>
  <c r="D24" i="12"/>
  <c r="D48" i="12"/>
  <c r="D108" i="12"/>
  <c r="D281" i="12"/>
  <c r="D280" i="12"/>
  <c r="D288" i="12"/>
  <c r="D293" i="12"/>
  <c r="D300" i="12"/>
  <c r="D292" i="12"/>
  <c r="D257" i="12"/>
  <c r="D258" i="12"/>
  <c r="D264" i="12"/>
  <c r="D256" i="12"/>
  <c r="D268" i="12"/>
  <c r="D276" i="12"/>
  <c r="D320" i="12"/>
  <c r="D318" i="12"/>
  <c r="D317" i="12"/>
  <c r="D316" i="12"/>
  <c r="D32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33" i="12"/>
  <c r="D232" i="12"/>
  <c r="D240" i="12"/>
  <c r="D252" i="12"/>
  <c r="D24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<sst xmlns="http://schemas.openxmlformats.org/spreadsheetml/2006/main" count="1061" uniqueCount="141">
  <si>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</si>
  <si>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</si>
  <si>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</si>
  <si>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</si>
  <si>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</si>
  <si>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</si>
  <si>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</si>
  <si>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</si>
  <si>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</si>
  <si>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</si>
  <si>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</si>
  <si>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</si>
  <si>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</si>
  <si>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</si>
  <si>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</si>
  <si>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</si>
  <si>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</si>
  <si>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</si>
  <si>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</si>
  <si>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</si>
  <si>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</si>
  <si>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</si>
  <si>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</si>
  <si>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</si>
  <si>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</si>
  <si>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</si>
  <si>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</si>
  <si>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</si>
  <si>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</si>
  <si>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</si>
  <si>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</si>
  <si>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</si>
  <si>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</si>
  <si>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</si>
  <si>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</si>
  <si>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</si>
  <si>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</si>
  <si>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</si>
  <si>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</si>
  <si>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</si>
  <si>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</si>
  <si>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</si>
  <si>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</si>
  <si>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</si>
  <si>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</si>
  <si>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</si>
  <si>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</si>
  <si>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</si>
  <si>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</si>
  <si>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</si>
  <si>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</si>
  <si>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</si>
  <si>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</si>
  <si>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</si>
  <si>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</si>
  <si>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</si>
  <si>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</si>
  <si>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</si>
  <si>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</si>
  <si>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</si>
  <si>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</si>
  <si>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</si>
  <si>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</si>
  <si>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</si>
  <si>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</si>
  <si>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</si>
  <si>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</si>
  <si>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</si>
  <si>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</si>
  <si>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</si>
  <si>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</si>
  <si>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</si>
  <si>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</si>
  <si>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</si>
  <si>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</si>
  <si>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</si>
  <si>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</si>
  <si>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</si>
  <si>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</si>
  <si>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</si>
  <si>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</si>
  <si>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</si>
  <si>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</si>
  <si>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</si>
  <si>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</si>
  <si>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</si>
  <si>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</si>
  <si>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</si>
  <si>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</si>
  <si>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</si>
  <si>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</si>
  <si>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</si>
  <si>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</si>
  <si>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</si>
  <si>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</si>
  <si>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</si>
  <si>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</si>
  <si>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</si>
  <si>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</si>
  <si>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</si>
  <si>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</si>
  <si>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</si>
  <si>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</si>
  <si>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</si>
  <si>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</si>
  <si>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</si>
  <si>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</si>
  <si>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</si>
  <si>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</si>
  <si>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</si>
  <si>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</si>
  <si>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</si>
  <si>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</si>
  <si>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</si>
  <si>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</si>
  <si>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</si>
  <si>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</si>
  <si>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</si>
  <si>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</si>
  <si>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</si>
  <si>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</si>
  <si>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</si>
  <si>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</si>
  <si>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</si>
  <si>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</si>
  <si>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</si>
  <si>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</si>
  <si>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</si>
  <si>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</si>
  <si>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</si>
  <si>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</si>
  <si>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</si>
  <si>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</si>
  <si>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</si>
  <si>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</si>
  <si>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</si>
  <si>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</si>
  <si>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19h</t>
  </si>
  <si>
    <t>- 71h</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</si>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</sst>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3" fillId="9" borderId="0" xfId="0" applyFont="1" applyFill="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19"/>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c:v>
              </c:pt>
              <c:pt idx="20">
                <c:v>125</c:v>
              </c:pt>
              <c:pt idx="21">
                <c:v>0</c:v>
              </c:pt>
              <c:pt idx="22">
                <c:v>4</c:v>
              </c:pt>
              <c:pt idx="23">
                <c:v>12</c:v>
              </c:pt>
              <c:pt idx="24">
                <c:v>0</c:v>
              </c:pt>
              <c:pt idx="25">
                <c:v>0</c:v>
              </c:pt>
              <c:pt idx="26">
                <c:v>0</c:v>
              </c:pt>
              <c:pt idx="27">
                <c:v>0</c:v>
              </c:pt>
              <c:pt idx="28">
                <c:v>0</c:v>
              </c:pt>
              <c:pt idx="29">
                <c:v>0</c:v>
              </c:pt>
              <c:pt idx="30">
                <c:v>0</c:v>
              </c:pt>
              <c:pt idx="31">
                <c:v>0</c:v>
              </c:pt>
              <c:pt idx="32">
                <c:v>2</c:v>
              </c:pt>
              <c:pt idx="33">
                <c:v>0</c:v>
              </c:pt>
              <c:pt idx="34">
                <c:v>0</c:v>
              </c:pt>
              <c:pt idx="35">
                <c:v>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5 min</a:t>
                    </a:r>
                  </a:p>
                  <a:p>
                    <a:r>
                      <a:rPr lang="en-US"/>
                      <a:t> 34.8%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11h 5 min</a:t>
                    </a:r>
                  </a:p>
                  <a:p>
                    <a:r>
                      <a:rPr lang="en-US"/>
                      <a:t> 63.3%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 20 min</a:t>
                    </a:r>
                  </a:p>
                  <a:p>
                    <a:r>
                      <a:rPr lang="en-US"/>
                      <a:t> 1.9%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73</c:v>
              </c:pt>
              <c:pt idx="2">
                <c:v>0</c:v>
              </c:pt>
              <c:pt idx="3">
                <c:v>0</c:v>
              </c:pt>
              <c:pt idx="4">
                <c:v>133</c:v>
              </c:pt>
              <c:pt idx="5">
                <c:v>0</c:v>
              </c:pt>
              <c:pt idx="6">
                <c:v>0</c:v>
              </c:pt>
              <c:pt idx="7">
                <c:v>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5"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137</v>
      </c>
      <c r="L45" s="185" t="s">
        <v>2</v>
      </c>
      <c r="M45" s="185"/>
      <c r="N45" s="186" t="s">
        <v>138</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1"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1" t="s">
        <v>3</v>
      </c>
      <c r="D1" s="191"/>
      <c r="E1" s="19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2"/>
      <c r="D7" s="192"/>
      <c r="E7" s="19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189" t="str">
        <f>E96</f>
        <v>90h</v>
      </c>
      <c r="H9" s="189"/>
      <c r="I9" s="189"/>
      <c r="J9" s="189"/>
      <c r="K9" s="189"/>
      <c r="L9" s="189"/>
      <c r="M9" s="189"/>
      <c r="N9" s="189"/>
      <c r="O9" s="189"/>
      <c r="P9" s="189"/>
      <c r="Q9" s="189"/>
      <c r="R9" s="189"/>
      <c r="S9" s="189"/>
      <c r="T9" s="189"/>
      <c r="U9" s="189"/>
      <c r="V9" s="94"/>
      <c r="W9" s="190" t="s">
        <v>11</v>
      </c>
      <c r="X9" s="190"/>
      <c r="Y9" s="190"/>
      <c r="Z9" s="190"/>
      <c r="AA9" s="190"/>
      <c r="AB9" s="190"/>
      <c r="AC9" s="190"/>
      <c r="AD9" s="190"/>
      <c r="AE9" s="190"/>
      <c r="AF9" s="190"/>
      <c r="AG9" s="190"/>
      <c r="AH9" s="189" t="str">
        <f>E98</f>
        <v>26h 10 min</v>
      </c>
      <c r="AI9" s="189"/>
      <c r="AJ9" s="189"/>
      <c r="AK9" s="189"/>
      <c r="AL9" s="189"/>
      <c r="AM9" s="189"/>
      <c r="AN9" s="189"/>
      <c r="AO9" s="189"/>
      <c r="AP9" s="189"/>
      <c r="AQ9" s="189"/>
      <c r="AR9" s="189"/>
      <c r="AS9" s="189"/>
      <c r="AT9" s="189"/>
      <c r="AU9" s="189"/>
      <c r="AV9" s="189"/>
      <c r="AW9" s="18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16"/>
      <c r="D11" s="216"/>
      <c r="E11" s="216"/>
      <c r="F11" s="212" t="s">
        <v>116</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116</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12" t="s">
        <v>115</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115</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112</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112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109</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109</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106</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106</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103</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103</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100</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100</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97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97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94</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94</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91</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91</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88</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88</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85</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85</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82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82</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80</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73"/>
    </row>
    <row r="12" spans="1:1626" ht="49.5" customHeight="1" thickBot="1" x14ac:dyDescent="0.3">
      <c r="B12" s="143"/>
      <c r="C12" s="217"/>
      <c r="D12" s="217"/>
      <c r="E12" s="217"/>
      <c r="F12" s="211" t="s">
        <v>77</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76</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9" t="s">
        <v>77</v>
      </c>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20" t="s">
        <v>76</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77</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76</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77</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76</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77</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76</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77</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76</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77</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76</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77</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76</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77</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76</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77</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76</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77</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76</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77</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76</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77</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76</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75</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73"/>
    </row>
    <row r="13" spans="1:1626" ht="42.75" customHeight="1" thickBot="1" x14ac:dyDescent="0.3">
      <c r="B13" s="51"/>
      <c r="C13" s="209" t="s">
        <v>12</v>
      </c>
      <c r="D13" s="117"/>
      <c r="E13" s="207" t="s">
        <v>13</v>
      </c>
      <c r="F13" s="213" t="s">
        <v>14</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15</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16</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114</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113</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111</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110</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108</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107</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105</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104</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102</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101</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99</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98</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96</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95</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93</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92</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90</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89</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87</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86</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84</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83</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81</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79</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3"/>
    </row>
    <row r="14" spans="1:1626" ht="12.75" customHeight="1" thickBot="1" x14ac:dyDescent="0.35">
      <c r="B14" s="51"/>
      <c r="C14" s="210"/>
      <c r="D14" s="118"/>
      <c r="E14" s="208"/>
      <c r="F14" s="81"/>
      <c r="G14" s="82"/>
      <c r="H14" s="82"/>
      <c r="I14" s="82"/>
      <c r="J14" s="197" t="s">
        <v>17</v>
      </c>
      <c r="K14" s="197"/>
      <c r="L14" s="197"/>
      <c r="M14" s="197"/>
      <c r="N14" s="82"/>
      <c r="O14" s="82"/>
      <c r="P14" s="198" t="s">
        <v>18</v>
      </c>
      <c r="Q14" s="198"/>
      <c r="R14" s="198"/>
      <c r="S14" s="198"/>
      <c r="T14" s="102"/>
      <c r="U14" s="102"/>
      <c r="V14" s="197" t="s">
        <v>19</v>
      </c>
      <c r="W14" s="197"/>
      <c r="X14" s="197"/>
      <c r="Y14" s="197"/>
      <c r="Z14" s="82"/>
      <c r="AA14" s="82"/>
      <c r="AB14" s="198" t="s">
        <v>20</v>
      </c>
      <c r="AC14" s="198"/>
      <c r="AD14" s="198"/>
      <c r="AE14" s="198"/>
      <c r="AF14" s="102"/>
      <c r="AG14" s="102"/>
      <c r="AH14" s="197" t="s">
        <v>21</v>
      </c>
      <c r="AI14" s="197"/>
      <c r="AJ14" s="197"/>
      <c r="AK14" s="197"/>
      <c r="AL14" s="82"/>
      <c r="AM14" s="82"/>
      <c r="AN14" s="198" t="s">
        <v>22</v>
      </c>
      <c r="AO14" s="198"/>
      <c r="AP14" s="198"/>
      <c r="AQ14" s="198"/>
      <c r="AR14" s="102"/>
      <c r="AS14" s="102"/>
      <c r="AT14" s="197" t="s">
        <v>23</v>
      </c>
      <c r="AU14" s="197"/>
      <c r="AV14" s="197"/>
      <c r="AW14" s="197"/>
      <c r="AX14" s="82"/>
      <c r="AY14" s="82"/>
      <c r="AZ14" s="198" t="s">
        <v>24</v>
      </c>
      <c r="BA14" s="198"/>
      <c r="BB14" s="198"/>
      <c r="BC14" s="198"/>
      <c r="BD14" s="102"/>
      <c r="BE14" s="102"/>
      <c r="BF14" s="197" t="s">
        <v>25</v>
      </c>
      <c r="BG14" s="197"/>
      <c r="BH14" s="197"/>
      <c r="BI14" s="197"/>
      <c r="BJ14" s="82"/>
      <c r="BK14" s="82"/>
      <c r="BL14" s="82"/>
      <c r="BM14" s="83"/>
      <c r="BN14" s="81"/>
      <c r="BO14" s="82"/>
      <c r="BP14" s="82"/>
      <c r="BQ14" s="82"/>
      <c r="BR14" s="197" t="s">
        <v>17</v>
      </c>
      <c r="BS14" s="197"/>
      <c r="BT14" s="197"/>
      <c r="BU14" s="197"/>
      <c r="BV14" s="82"/>
      <c r="BW14" s="82"/>
      <c r="BX14" s="198" t="s">
        <v>18</v>
      </c>
      <c r="BY14" s="198"/>
      <c r="BZ14" s="198"/>
      <c r="CA14" s="198"/>
      <c r="CB14" s="102"/>
      <c r="CC14" s="102"/>
      <c r="CD14" s="197" t="s">
        <v>19</v>
      </c>
      <c r="CE14" s="197"/>
      <c r="CF14" s="197"/>
      <c r="CG14" s="197"/>
      <c r="CH14" s="82"/>
      <c r="CI14" s="82"/>
      <c r="CJ14" s="198" t="s">
        <v>20</v>
      </c>
      <c r="CK14" s="198"/>
      <c r="CL14" s="198"/>
      <c r="CM14" s="198"/>
      <c r="CN14" s="102"/>
      <c r="CO14" s="102"/>
      <c r="CP14" s="197" t="s">
        <v>21</v>
      </c>
      <c r="CQ14" s="197"/>
      <c r="CR14" s="197"/>
      <c r="CS14" s="197"/>
      <c r="CT14" s="82"/>
      <c r="CU14" s="82"/>
      <c r="CV14" s="198" t="s">
        <v>22</v>
      </c>
      <c r="CW14" s="198"/>
      <c r="CX14" s="198"/>
      <c r="CY14" s="198"/>
      <c r="CZ14" s="102"/>
      <c r="DA14" s="102"/>
      <c r="DB14" s="197" t="s">
        <v>23</v>
      </c>
      <c r="DC14" s="197"/>
      <c r="DD14" s="197"/>
      <c r="DE14" s="197"/>
      <c r="DF14" s="82"/>
      <c r="DG14" s="82"/>
      <c r="DH14" s="198" t="s">
        <v>24</v>
      </c>
      <c r="DI14" s="198"/>
      <c r="DJ14" s="198"/>
      <c r="DK14" s="198"/>
      <c r="DL14" s="102"/>
      <c r="DM14" s="102"/>
      <c r="DN14" s="197" t="s">
        <v>25</v>
      </c>
      <c r="DO14" s="197"/>
      <c r="DP14" s="197"/>
      <c r="DQ14" s="197"/>
      <c r="DR14" s="82"/>
      <c r="DS14" s="82"/>
      <c r="DT14" s="82"/>
      <c r="DU14" s="83"/>
      <c r="DV14" s="81"/>
      <c r="DW14" s="82"/>
      <c r="DX14" s="82"/>
      <c r="DY14" s="82"/>
      <c r="DZ14" s="197" t="s">
        <v>17</v>
      </c>
      <c r="EA14" s="197"/>
      <c r="EB14" s="197"/>
      <c r="EC14" s="197"/>
      <c r="ED14" s="82"/>
      <c r="EE14" s="82"/>
      <c r="EF14" s="198" t="s">
        <v>18</v>
      </c>
      <c r="EG14" s="198"/>
      <c r="EH14" s="198"/>
      <c r="EI14" s="198"/>
      <c r="EJ14" s="102"/>
      <c r="EK14" s="102"/>
      <c r="EL14" s="197" t="s">
        <v>19</v>
      </c>
      <c r="EM14" s="197"/>
      <c r="EN14" s="197"/>
      <c r="EO14" s="197"/>
      <c r="EP14" s="82"/>
      <c r="EQ14" s="82"/>
      <c r="ER14" s="198" t="s">
        <v>20</v>
      </c>
      <c r="ES14" s="198"/>
      <c r="ET14" s="198"/>
      <c r="EU14" s="198"/>
      <c r="EV14" s="102"/>
      <c r="EW14" s="102"/>
      <c r="EX14" s="197" t="s">
        <v>21</v>
      </c>
      <c r="EY14" s="197"/>
      <c r="EZ14" s="197"/>
      <c r="FA14" s="197"/>
      <c r="FB14" s="82"/>
      <c r="FC14" s="82"/>
      <c r="FD14" s="198" t="s">
        <v>22</v>
      </c>
      <c r="FE14" s="198"/>
      <c r="FF14" s="198"/>
      <c r="FG14" s="198"/>
      <c r="FH14" s="102"/>
      <c r="FI14" s="102"/>
      <c r="FJ14" s="197" t="s">
        <v>23</v>
      </c>
      <c r="FK14" s="197"/>
      <c r="FL14" s="197"/>
      <c r="FM14" s="197"/>
      <c r="FN14" s="82"/>
      <c r="FO14" s="82"/>
      <c r="FP14" s="198" t="s">
        <v>24</v>
      </c>
      <c r="FQ14" s="198"/>
      <c r="FR14" s="198"/>
      <c r="FS14" s="198"/>
      <c r="FT14" s="102"/>
      <c r="FU14" s="102"/>
      <c r="FV14" s="197" t="s">
        <v>25</v>
      </c>
      <c r="FW14" s="197"/>
      <c r="FX14" s="197"/>
      <c r="FY14" s="197"/>
      <c r="FZ14" s="82"/>
      <c r="GA14" s="82"/>
      <c r="GB14" s="82"/>
      <c r="GC14" s="83"/>
      <c r="GD14" s="81"/>
      <c r="GE14" s="82"/>
      <c r="GF14" s="82"/>
      <c r="GG14" s="82"/>
      <c r="GH14" s="197" t="s">
        <v>17</v>
      </c>
      <c r="GI14" s="197"/>
      <c r="GJ14" s="197"/>
      <c r="GK14" s="197"/>
      <c r="GL14" s="82"/>
      <c r="GM14" s="82"/>
      <c r="GN14" s="198" t="s">
        <v>18</v>
      </c>
      <c r="GO14" s="198"/>
      <c r="GP14" s="198"/>
      <c r="GQ14" s="198"/>
      <c r="GR14" s="102"/>
      <c r="GS14" s="102"/>
      <c r="GT14" s="197" t="s">
        <v>19</v>
      </c>
      <c r="GU14" s="197"/>
      <c r="GV14" s="197"/>
      <c r="GW14" s="197"/>
      <c r="GX14" s="82"/>
      <c r="GY14" s="82"/>
      <c r="GZ14" s="198" t="s">
        <v>20</v>
      </c>
      <c r="HA14" s="198"/>
      <c r="HB14" s="198"/>
      <c r="HC14" s="198"/>
      <c r="HD14" s="102"/>
      <c r="HE14" s="102"/>
      <c r="HF14" s="197" t="s">
        <v>21</v>
      </c>
      <c r="HG14" s="197"/>
      <c r="HH14" s="197"/>
      <c r="HI14" s="197"/>
      <c r="HJ14" s="82"/>
      <c r="HK14" s="82"/>
      <c r="HL14" s="198" t="s">
        <v>22</v>
      </c>
      <c r="HM14" s="198"/>
      <c r="HN14" s="198"/>
      <c r="HO14" s="198"/>
      <c r="HP14" s="102"/>
      <c r="HQ14" s="102"/>
      <c r="HR14" s="197" t="s">
        <v>23</v>
      </c>
      <c r="HS14" s="197"/>
      <c r="HT14" s="197"/>
      <c r="HU14" s="197"/>
      <c r="HV14" s="82"/>
      <c r="HW14" s="82"/>
      <c r="HX14" s="198" t="s">
        <v>24</v>
      </c>
      <c r="HY14" s="198"/>
      <c r="HZ14" s="198"/>
      <c r="IA14" s="198"/>
      <c r="IB14" s="102"/>
      <c r="IC14" s="102"/>
      <c r="ID14" s="197" t="s">
        <v>25</v>
      </c>
      <c r="IE14" s="197"/>
      <c r="IF14" s="197"/>
      <c r="IG14" s="197"/>
      <c r="IH14" s="82"/>
      <c r="II14" s="82"/>
      <c r="IJ14" s="82"/>
      <c r="IK14" s="83"/>
      <c r="IL14" s="81"/>
      <c r="IM14" s="82"/>
      <c r="IN14" s="82"/>
      <c r="IO14" s="82"/>
      <c r="IP14" s="197" t="s">
        <v>17</v>
      </c>
      <c r="IQ14" s="197"/>
      <c r="IR14" s="197"/>
      <c r="IS14" s="197"/>
      <c r="IT14" s="82"/>
      <c r="IU14" s="82"/>
      <c r="IV14" s="198" t="s">
        <v>18</v>
      </c>
      <c r="IW14" s="198"/>
      <c r="IX14" s="198"/>
      <c r="IY14" s="198"/>
      <c r="IZ14" s="102"/>
      <c r="JA14" s="102"/>
      <c r="JB14" s="197" t="s">
        <v>19</v>
      </c>
      <c r="JC14" s="197"/>
      <c r="JD14" s="197"/>
      <c r="JE14" s="197"/>
      <c r="JF14" s="82"/>
      <c r="JG14" s="82"/>
      <c r="JH14" s="198" t="s">
        <v>20</v>
      </c>
      <c r="JI14" s="198"/>
      <c r="JJ14" s="198"/>
      <c r="JK14" s="198"/>
      <c r="JL14" s="102"/>
      <c r="JM14" s="102"/>
      <c r="JN14" s="197" t="s">
        <v>21</v>
      </c>
      <c r="JO14" s="197"/>
      <c r="JP14" s="197"/>
      <c r="JQ14" s="197"/>
      <c r="JR14" s="82"/>
      <c r="JS14" s="82"/>
      <c r="JT14" s="198" t="s">
        <v>22</v>
      </c>
      <c r="JU14" s="198"/>
      <c r="JV14" s="198"/>
      <c r="JW14" s="198"/>
      <c r="JX14" s="102"/>
      <c r="JY14" s="102"/>
      <c r="JZ14" s="197" t="s">
        <v>23</v>
      </c>
      <c r="KA14" s="197"/>
      <c r="KB14" s="197"/>
      <c r="KC14" s="197"/>
      <c r="KD14" s="82"/>
      <c r="KE14" s="82"/>
      <c r="KF14" s="198" t="s">
        <v>24</v>
      </c>
      <c r="KG14" s="198"/>
      <c r="KH14" s="198"/>
      <c r="KI14" s="198"/>
      <c r="KJ14" s="102"/>
      <c r="KK14" s="102"/>
      <c r="KL14" s="197" t="s">
        <v>25</v>
      </c>
      <c r="KM14" s="197"/>
      <c r="KN14" s="197"/>
      <c r="KO14" s="197"/>
      <c r="KP14" s="82"/>
      <c r="KQ14" s="82"/>
      <c r="KR14" s="82"/>
      <c r="KS14" s="83"/>
      <c r="KT14" s="81"/>
      <c r="KU14" s="82"/>
      <c r="KV14" s="82"/>
      <c r="KW14" s="82"/>
      <c r="KX14" s="197" t="s">
        <v>17</v>
      </c>
      <c r="KY14" s="197"/>
      <c r="KZ14" s="197"/>
      <c r="LA14" s="197"/>
      <c r="LB14" s="82"/>
      <c r="LC14" s="82"/>
      <c r="LD14" s="198" t="s">
        <v>18</v>
      </c>
      <c r="LE14" s="198"/>
      <c r="LF14" s="198"/>
      <c r="LG14" s="198"/>
      <c r="LH14" s="102"/>
      <c r="LI14" s="102"/>
      <c r="LJ14" s="197" t="s">
        <v>19</v>
      </c>
      <c r="LK14" s="197"/>
      <c r="LL14" s="197"/>
      <c r="LM14" s="197"/>
      <c r="LN14" s="82"/>
      <c r="LO14" s="82"/>
      <c r="LP14" s="198" t="s">
        <v>20</v>
      </c>
      <c r="LQ14" s="198"/>
      <c r="LR14" s="198"/>
      <c r="LS14" s="198"/>
      <c r="LT14" s="102"/>
      <c r="LU14" s="102"/>
      <c r="LV14" s="197" t="s">
        <v>21</v>
      </c>
      <c r="LW14" s="197"/>
      <c r="LX14" s="197"/>
      <c r="LY14" s="197"/>
      <c r="LZ14" s="82"/>
      <c r="MA14" s="82"/>
      <c r="MB14" s="198" t="s">
        <v>22</v>
      </c>
      <c r="MC14" s="198"/>
      <c r="MD14" s="198"/>
      <c r="ME14" s="198"/>
      <c r="MF14" s="102"/>
      <c r="MG14" s="102"/>
      <c r="MH14" s="197" t="s">
        <v>23</v>
      </c>
      <c r="MI14" s="197"/>
      <c r="MJ14" s="197"/>
      <c r="MK14" s="197"/>
      <c r="ML14" s="82"/>
      <c r="MM14" s="82"/>
      <c r="MN14" s="198" t="s">
        <v>24</v>
      </c>
      <c r="MO14" s="198"/>
      <c r="MP14" s="198"/>
      <c r="MQ14" s="198"/>
      <c r="MR14" s="102"/>
      <c r="MS14" s="102"/>
      <c r="MT14" s="197" t="s">
        <v>25</v>
      </c>
      <c r="MU14" s="197"/>
      <c r="MV14" s="197"/>
      <c r="MW14" s="197"/>
      <c r="MX14" s="82"/>
      <c r="MY14" s="82"/>
      <c r="MZ14" s="82"/>
      <c r="NA14" s="83"/>
      <c r="NB14" s="81"/>
      <c r="NC14" s="82"/>
      <c r="ND14" s="82"/>
      <c r="NE14" s="82"/>
      <c r="NF14" s="197" t="s">
        <v>17</v>
      </c>
      <c r="NG14" s="197"/>
      <c r="NH14" s="197"/>
      <c r="NI14" s="197"/>
      <c r="NJ14" s="82"/>
      <c r="NK14" s="82"/>
      <c r="NL14" s="198" t="s">
        <v>18</v>
      </c>
      <c r="NM14" s="198"/>
      <c r="NN14" s="198"/>
      <c r="NO14" s="198"/>
      <c r="NP14" s="102"/>
      <c r="NQ14" s="102"/>
      <c r="NR14" s="197" t="s">
        <v>19</v>
      </c>
      <c r="NS14" s="197"/>
      <c r="NT14" s="197"/>
      <c r="NU14" s="197"/>
      <c r="NV14" s="82"/>
      <c r="NW14" s="82"/>
      <c r="NX14" s="198" t="s">
        <v>20</v>
      </c>
      <c r="NY14" s="198"/>
      <c r="NZ14" s="198"/>
      <c r="OA14" s="198"/>
      <c r="OB14" s="102"/>
      <c r="OC14" s="102"/>
      <c r="OD14" s="197" t="s">
        <v>21</v>
      </c>
      <c r="OE14" s="197"/>
      <c r="OF14" s="197"/>
      <c r="OG14" s="197"/>
      <c r="OH14" s="82"/>
      <c r="OI14" s="82"/>
      <c r="OJ14" s="198" t="s">
        <v>22</v>
      </c>
      <c r="OK14" s="198"/>
      <c r="OL14" s="198"/>
      <c r="OM14" s="198"/>
      <c r="ON14" s="102"/>
      <c r="OO14" s="102"/>
      <c r="OP14" s="197" t="s">
        <v>23</v>
      </c>
      <c r="OQ14" s="197"/>
      <c r="OR14" s="197"/>
      <c r="OS14" s="197"/>
      <c r="OT14" s="82"/>
      <c r="OU14" s="82"/>
      <c r="OV14" s="198" t="s">
        <v>24</v>
      </c>
      <c r="OW14" s="198"/>
      <c r="OX14" s="198"/>
      <c r="OY14" s="198"/>
      <c r="OZ14" s="102"/>
      <c r="PA14" s="102"/>
      <c r="PB14" s="197" t="s">
        <v>25</v>
      </c>
      <c r="PC14" s="197"/>
      <c r="PD14" s="197"/>
      <c r="PE14" s="197"/>
      <c r="PF14" s="82"/>
      <c r="PG14" s="82"/>
      <c r="PH14" s="82"/>
      <c r="PI14" s="83"/>
      <c r="PJ14" s="81"/>
      <c r="PK14" s="82"/>
      <c r="PL14" s="82"/>
      <c r="PM14" s="82"/>
      <c r="PN14" s="197" t="s">
        <v>17</v>
      </c>
      <c r="PO14" s="197"/>
      <c r="PP14" s="197"/>
      <c r="PQ14" s="197"/>
      <c r="PR14" s="82"/>
      <c r="PS14" s="82"/>
      <c r="PT14" s="198" t="s">
        <v>18</v>
      </c>
      <c r="PU14" s="198"/>
      <c r="PV14" s="198"/>
      <c r="PW14" s="198"/>
      <c r="PX14" s="102"/>
      <c r="PY14" s="102"/>
      <c r="PZ14" s="197" t="s">
        <v>19</v>
      </c>
      <c r="QA14" s="197"/>
      <c r="QB14" s="197"/>
      <c r="QC14" s="197"/>
      <c r="QD14" s="82"/>
      <c r="QE14" s="82"/>
      <c r="QF14" s="198" t="s">
        <v>20</v>
      </c>
      <c r="QG14" s="198"/>
      <c r="QH14" s="198"/>
      <c r="QI14" s="198"/>
      <c r="QJ14" s="102"/>
      <c r="QK14" s="102"/>
      <c r="QL14" s="197" t="s">
        <v>21</v>
      </c>
      <c r="QM14" s="197"/>
      <c r="QN14" s="197"/>
      <c r="QO14" s="197"/>
      <c r="QP14" s="82"/>
      <c r="QQ14" s="82"/>
      <c r="QR14" s="198" t="s">
        <v>22</v>
      </c>
      <c r="QS14" s="198"/>
      <c r="QT14" s="198"/>
      <c r="QU14" s="198"/>
      <c r="QV14" s="102"/>
      <c r="QW14" s="102"/>
      <c r="QX14" s="197" t="s">
        <v>23</v>
      </c>
      <c r="QY14" s="197"/>
      <c r="QZ14" s="197"/>
      <c r="RA14" s="197"/>
      <c r="RB14" s="82"/>
      <c r="RC14" s="82"/>
      <c r="RD14" s="198" t="s">
        <v>24</v>
      </c>
      <c r="RE14" s="198"/>
      <c r="RF14" s="198"/>
      <c r="RG14" s="198"/>
      <c r="RH14" s="102"/>
      <c r="RI14" s="102"/>
      <c r="RJ14" s="197" t="s">
        <v>25</v>
      </c>
      <c r="RK14" s="197"/>
      <c r="RL14" s="197"/>
      <c r="RM14" s="197"/>
      <c r="RN14" s="82"/>
      <c r="RO14" s="82"/>
      <c r="RP14" s="82"/>
      <c r="RQ14" s="83"/>
      <c r="RR14" s="81"/>
      <c r="RS14" s="82"/>
      <c r="RT14" s="82"/>
      <c r="RU14" s="82"/>
      <c r="RV14" s="197" t="s">
        <v>17</v>
      </c>
      <c r="RW14" s="197"/>
      <c r="RX14" s="197"/>
      <c r="RY14" s="197"/>
      <c r="RZ14" s="82"/>
      <c r="SA14" s="82"/>
      <c r="SB14" s="198" t="s">
        <v>18</v>
      </c>
      <c r="SC14" s="198"/>
      <c r="SD14" s="198"/>
      <c r="SE14" s="198"/>
      <c r="SF14" s="102"/>
      <c r="SG14" s="102"/>
      <c r="SH14" s="197" t="s">
        <v>19</v>
      </c>
      <c r="SI14" s="197"/>
      <c r="SJ14" s="197"/>
      <c r="SK14" s="197"/>
      <c r="SL14" s="82"/>
      <c r="SM14" s="82"/>
      <c r="SN14" s="198" t="s">
        <v>20</v>
      </c>
      <c r="SO14" s="198"/>
      <c r="SP14" s="198"/>
      <c r="SQ14" s="198"/>
      <c r="SR14" s="102"/>
      <c r="SS14" s="102"/>
      <c r="ST14" s="197" t="s">
        <v>21</v>
      </c>
      <c r="SU14" s="197"/>
      <c r="SV14" s="197"/>
      <c r="SW14" s="197"/>
      <c r="SX14" s="82"/>
      <c r="SY14" s="82"/>
      <c r="SZ14" s="198" t="s">
        <v>22</v>
      </c>
      <c r="TA14" s="198"/>
      <c r="TB14" s="198"/>
      <c r="TC14" s="198"/>
      <c r="TD14" s="102"/>
      <c r="TE14" s="102"/>
      <c r="TF14" s="197" t="s">
        <v>23</v>
      </c>
      <c r="TG14" s="197"/>
      <c r="TH14" s="197"/>
      <c r="TI14" s="197"/>
      <c r="TJ14" s="82"/>
      <c r="TK14" s="82"/>
      <c r="TL14" s="198" t="s">
        <v>24</v>
      </c>
      <c r="TM14" s="198"/>
      <c r="TN14" s="198"/>
      <c r="TO14" s="198"/>
      <c r="TP14" s="102"/>
      <c r="TQ14" s="102"/>
      <c r="TR14" s="197" t="s">
        <v>25</v>
      </c>
      <c r="TS14" s="197"/>
      <c r="TT14" s="197"/>
      <c r="TU14" s="197"/>
      <c r="TV14" s="82"/>
      <c r="TW14" s="82"/>
      <c r="TX14" s="82"/>
      <c r="TY14" s="83"/>
      <c r="TZ14" s="81"/>
      <c r="UA14" s="82"/>
      <c r="UB14" s="82"/>
      <c r="UC14" s="82"/>
      <c r="UD14" s="197" t="s">
        <v>17</v>
      </c>
      <c r="UE14" s="197"/>
      <c r="UF14" s="197"/>
      <c r="UG14" s="197"/>
      <c r="UH14" s="82"/>
      <c r="UI14" s="82"/>
      <c r="UJ14" s="198" t="s">
        <v>18</v>
      </c>
      <c r="UK14" s="198"/>
      <c r="UL14" s="198"/>
      <c r="UM14" s="198"/>
      <c r="UN14" s="102"/>
      <c r="UO14" s="102"/>
      <c r="UP14" s="197" t="s">
        <v>19</v>
      </c>
      <c r="UQ14" s="197"/>
      <c r="UR14" s="197"/>
      <c r="US14" s="197"/>
      <c r="UT14" s="82"/>
      <c r="UU14" s="82"/>
      <c r="UV14" s="198" t="s">
        <v>20</v>
      </c>
      <c r="UW14" s="198"/>
      <c r="UX14" s="198"/>
      <c r="UY14" s="198"/>
      <c r="UZ14" s="102"/>
      <c r="VA14" s="102"/>
      <c r="VB14" s="197" t="s">
        <v>21</v>
      </c>
      <c r="VC14" s="197"/>
      <c r="VD14" s="197"/>
      <c r="VE14" s="197"/>
      <c r="VF14" s="82"/>
      <c r="VG14" s="82"/>
      <c r="VH14" s="198" t="s">
        <v>22</v>
      </c>
      <c r="VI14" s="198"/>
      <c r="VJ14" s="198"/>
      <c r="VK14" s="198"/>
      <c r="VL14" s="102"/>
      <c r="VM14" s="102"/>
      <c r="VN14" s="197" t="s">
        <v>23</v>
      </c>
      <c r="VO14" s="197"/>
      <c r="VP14" s="197"/>
      <c r="VQ14" s="197"/>
      <c r="VR14" s="82"/>
      <c r="VS14" s="82"/>
      <c r="VT14" s="198" t="s">
        <v>24</v>
      </c>
      <c r="VU14" s="198"/>
      <c r="VV14" s="198"/>
      <c r="VW14" s="198"/>
      <c r="VX14" s="102"/>
      <c r="VY14" s="102"/>
      <c r="VZ14" s="197" t="s">
        <v>25</v>
      </c>
      <c r="WA14" s="197"/>
      <c r="WB14" s="197"/>
      <c r="WC14" s="197"/>
      <c r="WD14" s="82"/>
      <c r="WE14" s="82"/>
      <c r="WF14" s="82"/>
      <c r="WG14" s="83"/>
      <c r="WH14" s="81"/>
      <c r="WI14" s="82"/>
      <c r="WJ14" s="82"/>
      <c r="WK14" s="82"/>
      <c r="WL14" s="197" t="s">
        <v>17</v>
      </c>
      <c r="WM14" s="197"/>
      <c r="WN14" s="197"/>
      <c r="WO14" s="197"/>
      <c r="WP14" s="82"/>
      <c r="WQ14" s="82"/>
      <c r="WR14" s="198" t="s">
        <v>18</v>
      </c>
      <c r="WS14" s="198"/>
      <c r="WT14" s="198"/>
      <c r="WU14" s="198"/>
      <c r="WV14" s="102"/>
      <c r="WW14" s="102"/>
      <c r="WX14" s="197" t="s">
        <v>19</v>
      </c>
      <c r="WY14" s="197"/>
      <c r="WZ14" s="197"/>
      <c r="XA14" s="197"/>
      <c r="XB14" s="82"/>
      <c r="XC14" s="82"/>
      <c r="XD14" s="198" t="s">
        <v>20</v>
      </c>
      <c r="XE14" s="198"/>
      <c r="XF14" s="198"/>
      <c r="XG14" s="198"/>
      <c r="XH14" s="102"/>
      <c r="XI14" s="102"/>
      <c r="XJ14" s="197" t="s">
        <v>21</v>
      </c>
      <c r="XK14" s="197"/>
      <c r="XL14" s="197"/>
      <c r="XM14" s="197"/>
      <c r="XN14" s="82"/>
      <c r="XO14" s="82"/>
      <c r="XP14" s="198" t="s">
        <v>22</v>
      </c>
      <c r="XQ14" s="198"/>
      <c r="XR14" s="198"/>
      <c r="XS14" s="198"/>
      <c r="XT14" s="102"/>
      <c r="XU14" s="102"/>
      <c r="XV14" s="197" t="s">
        <v>23</v>
      </c>
      <c r="XW14" s="197"/>
      <c r="XX14" s="197"/>
      <c r="XY14" s="197"/>
      <c r="XZ14" s="82"/>
      <c r="YA14" s="82"/>
      <c r="YB14" s="198" t="s">
        <v>24</v>
      </c>
      <c r="YC14" s="198"/>
      <c r="YD14" s="198"/>
      <c r="YE14" s="198"/>
      <c r="YF14" s="102"/>
      <c r="YG14" s="102"/>
      <c r="YH14" s="197" t="s">
        <v>25</v>
      </c>
      <c r="YI14" s="197"/>
      <c r="YJ14" s="197"/>
      <c r="YK14" s="197"/>
      <c r="YL14" s="82"/>
      <c r="YM14" s="82"/>
      <c r="YN14" s="82"/>
      <c r="YO14" s="83"/>
      <c r="YP14" s="81"/>
      <c r="YQ14" s="82"/>
      <c r="YR14" s="82"/>
      <c r="YS14" s="82"/>
      <c r="YT14" s="197" t="s">
        <v>17</v>
      </c>
      <c r="YU14" s="197"/>
      <c r="YV14" s="197"/>
      <c r="YW14" s="197"/>
      <c r="YX14" s="82"/>
      <c r="YY14" s="82"/>
      <c r="YZ14" s="198" t="s">
        <v>18</v>
      </c>
      <c r="ZA14" s="198"/>
      <c r="ZB14" s="198"/>
      <c r="ZC14" s="198"/>
      <c r="ZD14" s="102"/>
      <c r="ZE14" s="102"/>
      <c r="ZF14" s="197" t="s">
        <v>19</v>
      </c>
      <c r="ZG14" s="197"/>
      <c r="ZH14" s="197"/>
      <c r="ZI14" s="197"/>
      <c r="ZJ14" s="82"/>
      <c r="ZK14" s="82"/>
      <c r="ZL14" s="198" t="s">
        <v>20</v>
      </c>
      <c r="ZM14" s="198"/>
      <c r="ZN14" s="198"/>
      <c r="ZO14" s="198"/>
      <c r="ZP14" s="102"/>
      <c r="ZQ14" s="102"/>
      <c r="ZR14" s="197" t="s">
        <v>21</v>
      </c>
      <c r="ZS14" s="197"/>
      <c r="ZT14" s="197"/>
      <c r="ZU14" s="197"/>
      <c r="ZV14" s="82"/>
      <c r="ZW14" s="82"/>
      <c r="ZX14" s="198" t="s">
        <v>22</v>
      </c>
      <c r="ZY14" s="198"/>
      <c r="ZZ14" s="198"/>
      <c r="AAA14" s="198"/>
      <c r="AAB14" s="102"/>
      <c r="AAC14" s="102"/>
      <c r="AAD14" s="197" t="s">
        <v>23</v>
      </c>
      <c r="AAE14" s="197"/>
      <c r="AAF14" s="197"/>
      <c r="AAG14" s="197"/>
      <c r="AAH14" s="82"/>
      <c r="AAI14" s="82"/>
      <c r="AAJ14" s="198" t="s">
        <v>24</v>
      </c>
      <c r="AAK14" s="198"/>
      <c r="AAL14" s="198"/>
      <c r="AAM14" s="198"/>
      <c r="AAN14" s="102"/>
      <c r="AAO14" s="102"/>
      <c r="AAP14" s="197" t="s">
        <v>25</v>
      </c>
      <c r="AAQ14" s="197"/>
      <c r="AAR14" s="197"/>
      <c r="AAS14" s="197"/>
      <c r="AAT14" s="82"/>
      <c r="AAU14" s="82"/>
      <c r="AAV14" s="82"/>
      <c r="AAW14" s="83"/>
      <c r="AAX14" s="81"/>
      <c r="AAY14" s="82"/>
      <c r="AAZ14" s="82"/>
      <c r="ABA14" s="82"/>
      <c r="ABB14" s="197" t="s">
        <v>17</v>
      </c>
      <c r="ABC14" s="197"/>
      <c r="ABD14" s="197"/>
      <c r="ABE14" s="197"/>
      <c r="ABF14" s="82"/>
      <c r="ABG14" s="82"/>
      <c r="ABH14" s="198" t="s">
        <v>18</v>
      </c>
      <c r="ABI14" s="198"/>
      <c r="ABJ14" s="198"/>
      <c r="ABK14" s="198"/>
      <c r="ABL14" s="102"/>
      <c r="ABM14" s="102"/>
      <c r="ABN14" s="197" t="s">
        <v>19</v>
      </c>
      <c r="ABO14" s="197"/>
      <c r="ABP14" s="197"/>
      <c r="ABQ14" s="197"/>
      <c r="ABR14" s="82"/>
      <c r="ABS14" s="82"/>
      <c r="ABT14" s="198" t="s">
        <v>20</v>
      </c>
      <c r="ABU14" s="198"/>
      <c r="ABV14" s="198"/>
      <c r="ABW14" s="198"/>
      <c r="ABX14" s="102"/>
      <c r="ABY14" s="102"/>
      <c r="ABZ14" s="197" t="s">
        <v>21</v>
      </c>
      <c r="ACA14" s="197"/>
      <c r="ACB14" s="197"/>
      <c r="ACC14" s="197"/>
      <c r="ACD14" s="82"/>
      <c r="ACE14" s="82"/>
      <c r="ACF14" s="198" t="s">
        <v>22</v>
      </c>
      <c r="ACG14" s="198"/>
      <c r="ACH14" s="198"/>
      <c r="ACI14" s="198"/>
      <c r="ACJ14" s="102"/>
      <c r="ACK14" s="102"/>
      <c r="ACL14" s="197" t="s">
        <v>23</v>
      </c>
      <c r="ACM14" s="197"/>
      <c r="ACN14" s="197"/>
      <c r="ACO14" s="197"/>
      <c r="ACP14" s="82"/>
      <c r="ACQ14" s="82"/>
      <c r="ACR14" s="198" t="s">
        <v>24</v>
      </c>
      <c r="ACS14" s="198"/>
      <c r="ACT14" s="198"/>
      <c r="ACU14" s="198"/>
      <c r="ACV14" s="102"/>
      <c r="ACW14" s="102"/>
      <c r="ACX14" s="197" t="s">
        <v>25</v>
      </c>
      <c r="ACY14" s="197"/>
      <c r="ACZ14" s="197"/>
      <c r="ADA14" s="197"/>
      <c r="ADB14" s="82"/>
      <c r="ADC14" s="82"/>
      <c r="ADD14" s="82"/>
      <c r="ADE14" s="83"/>
      <c r="ADF14" s="81"/>
      <c r="ADG14" s="82"/>
      <c r="ADH14" s="82"/>
      <c r="ADI14" s="82"/>
      <c r="ADJ14" s="197" t="s">
        <v>17</v>
      </c>
      <c r="ADK14" s="197"/>
      <c r="ADL14" s="197"/>
      <c r="ADM14" s="197"/>
      <c r="ADN14" s="82"/>
      <c r="ADO14" s="82"/>
      <c r="ADP14" s="198" t="s">
        <v>18</v>
      </c>
      <c r="ADQ14" s="198"/>
      <c r="ADR14" s="198"/>
      <c r="ADS14" s="198"/>
      <c r="ADT14" s="102"/>
      <c r="ADU14" s="102"/>
      <c r="ADV14" s="197" t="s">
        <v>19</v>
      </c>
      <c r="ADW14" s="197"/>
      <c r="ADX14" s="197"/>
      <c r="ADY14" s="197"/>
      <c r="ADZ14" s="82"/>
      <c r="AEA14" s="82"/>
      <c r="AEB14" s="198" t="s">
        <v>20</v>
      </c>
      <c r="AEC14" s="198"/>
      <c r="AED14" s="198"/>
      <c r="AEE14" s="198"/>
      <c r="AEF14" s="102"/>
      <c r="AEG14" s="102"/>
      <c r="AEH14" s="197" t="s">
        <v>21</v>
      </c>
      <c r="AEI14" s="197"/>
      <c r="AEJ14" s="197"/>
      <c r="AEK14" s="197"/>
      <c r="AEL14" s="82"/>
      <c r="AEM14" s="82"/>
      <c r="AEN14" s="198" t="s">
        <v>22</v>
      </c>
      <c r="AEO14" s="198"/>
      <c r="AEP14" s="198"/>
      <c r="AEQ14" s="198"/>
      <c r="AER14" s="102"/>
      <c r="AES14" s="102"/>
      <c r="AET14" s="197" t="s">
        <v>23</v>
      </c>
      <c r="AEU14" s="197"/>
      <c r="AEV14" s="197"/>
      <c r="AEW14" s="197"/>
      <c r="AEX14" s="82"/>
      <c r="AEY14" s="82"/>
      <c r="AEZ14" s="198" t="s">
        <v>24</v>
      </c>
      <c r="AFA14" s="198"/>
      <c r="AFB14" s="198"/>
      <c r="AFC14" s="198"/>
      <c r="AFD14" s="102"/>
      <c r="AFE14" s="102"/>
      <c r="AFF14" s="197" t="s">
        <v>25</v>
      </c>
      <c r="AFG14" s="197"/>
      <c r="AFH14" s="197"/>
      <c r="AFI14" s="197"/>
      <c r="AFJ14" s="82"/>
      <c r="AFK14" s="82"/>
      <c r="AFL14" s="82"/>
      <c r="AFM14" s="83"/>
      <c r="AFN14" s="81"/>
      <c r="AFO14" s="82"/>
      <c r="AFP14" s="82"/>
      <c r="AFQ14" s="82"/>
      <c r="AFR14" s="197" t="s">
        <v>17</v>
      </c>
      <c r="AFS14" s="197"/>
      <c r="AFT14" s="197"/>
      <c r="AFU14" s="197"/>
      <c r="AFV14" s="82"/>
      <c r="AFW14" s="82"/>
      <c r="AFX14" s="198" t="s">
        <v>18</v>
      </c>
      <c r="AFY14" s="198"/>
      <c r="AFZ14" s="198"/>
      <c r="AGA14" s="198"/>
      <c r="AGB14" s="102"/>
      <c r="AGC14" s="102"/>
      <c r="AGD14" s="197" t="s">
        <v>19</v>
      </c>
      <c r="AGE14" s="197"/>
      <c r="AGF14" s="197"/>
      <c r="AGG14" s="197"/>
      <c r="AGH14" s="82"/>
      <c r="AGI14" s="82"/>
      <c r="AGJ14" s="198" t="s">
        <v>20</v>
      </c>
      <c r="AGK14" s="198"/>
      <c r="AGL14" s="198"/>
      <c r="AGM14" s="198"/>
      <c r="AGN14" s="102"/>
      <c r="AGO14" s="102"/>
      <c r="AGP14" s="197" t="s">
        <v>21</v>
      </c>
      <c r="AGQ14" s="197"/>
      <c r="AGR14" s="197"/>
      <c r="AGS14" s="197"/>
      <c r="AGT14" s="82"/>
      <c r="AGU14" s="82"/>
      <c r="AGV14" s="198" t="s">
        <v>22</v>
      </c>
      <c r="AGW14" s="198"/>
      <c r="AGX14" s="198"/>
      <c r="AGY14" s="198"/>
      <c r="AGZ14" s="102"/>
      <c r="AHA14" s="102"/>
      <c r="AHB14" s="197" t="s">
        <v>23</v>
      </c>
      <c r="AHC14" s="197"/>
      <c r="AHD14" s="197"/>
      <c r="AHE14" s="197"/>
      <c r="AHF14" s="82"/>
      <c r="AHG14" s="82"/>
      <c r="AHH14" s="198" t="s">
        <v>24</v>
      </c>
      <c r="AHI14" s="198"/>
      <c r="AHJ14" s="198"/>
      <c r="AHK14" s="198"/>
      <c r="AHL14" s="102"/>
      <c r="AHM14" s="102"/>
      <c r="AHN14" s="197" t="s">
        <v>25</v>
      </c>
      <c r="AHO14" s="197"/>
      <c r="AHP14" s="197"/>
      <c r="AHQ14" s="197"/>
      <c r="AHR14" s="82"/>
      <c r="AHS14" s="82"/>
      <c r="AHT14" s="82"/>
      <c r="AHU14" s="83"/>
      <c r="AHV14" s="81"/>
      <c r="AHW14" s="82"/>
      <c r="AHX14" s="82"/>
      <c r="AHY14" s="82"/>
      <c r="AHZ14" s="197" t="s">
        <v>17</v>
      </c>
      <c r="AIA14" s="197"/>
      <c r="AIB14" s="197"/>
      <c r="AIC14" s="197"/>
      <c r="AID14" s="82"/>
      <c r="AIE14" s="82"/>
      <c r="AIF14" s="198" t="s">
        <v>18</v>
      </c>
      <c r="AIG14" s="198"/>
      <c r="AIH14" s="198"/>
      <c r="AII14" s="198"/>
      <c r="AIJ14" s="102"/>
      <c r="AIK14" s="102"/>
      <c r="AIL14" s="197" t="s">
        <v>19</v>
      </c>
      <c r="AIM14" s="197"/>
      <c r="AIN14" s="197"/>
      <c r="AIO14" s="197"/>
      <c r="AIP14" s="82"/>
      <c r="AIQ14" s="82"/>
      <c r="AIR14" s="198" t="s">
        <v>20</v>
      </c>
      <c r="AIS14" s="198"/>
      <c r="AIT14" s="198"/>
      <c r="AIU14" s="198"/>
      <c r="AIV14" s="102"/>
      <c r="AIW14" s="102"/>
      <c r="AIX14" s="197" t="s">
        <v>21</v>
      </c>
      <c r="AIY14" s="197"/>
      <c r="AIZ14" s="197"/>
      <c r="AJA14" s="197"/>
      <c r="AJB14" s="82"/>
      <c r="AJC14" s="82"/>
      <c r="AJD14" s="198" t="s">
        <v>22</v>
      </c>
      <c r="AJE14" s="198"/>
      <c r="AJF14" s="198"/>
      <c r="AJG14" s="198"/>
      <c r="AJH14" s="102"/>
      <c r="AJI14" s="102"/>
      <c r="AJJ14" s="197" t="s">
        <v>23</v>
      </c>
      <c r="AJK14" s="197"/>
      <c r="AJL14" s="197"/>
      <c r="AJM14" s="197"/>
      <c r="AJN14" s="82"/>
      <c r="AJO14" s="82"/>
      <c r="AJP14" s="198" t="s">
        <v>24</v>
      </c>
      <c r="AJQ14" s="198"/>
      <c r="AJR14" s="198"/>
      <c r="AJS14" s="198"/>
      <c r="AJT14" s="102"/>
      <c r="AJU14" s="102"/>
      <c r="AJV14" s="197" t="s">
        <v>25</v>
      </c>
      <c r="AJW14" s="197"/>
      <c r="AJX14" s="197"/>
      <c r="AJY14" s="197"/>
      <c r="AJZ14" s="82"/>
      <c r="AKA14" s="82"/>
      <c r="AKB14" s="82"/>
      <c r="AKC14" s="83"/>
      <c r="AKD14" s="81"/>
      <c r="AKE14" s="82"/>
      <c r="AKF14" s="82"/>
      <c r="AKG14" s="82"/>
      <c r="AKH14" s="197" t="s">
        <v>17</v>
      </c>
      <c r="AKI14" s="197"/>
      <c r="AKJ14" s="197"/>
      <c r="AKK14" s="197"/>
      <c r="AKL14" s="82"/>
      <c r="AKM14" s="82"/>
      <c r="AKN14" s="198" t="s">
        <v>18</v>
      </c>
      <c r="AKO14" s="198"/>
      <c r="AKP14" s="198"/>
      <c r="AKQ14" s="198"/>
      <c r="AKR14" s="102"/>
      <c r="AKS14" s="102"/>
      <c r="AKT14" s="197" t="s">
        <v>19</v>
      </c>
      <c r="AKU14" s="197"/>
      <c r="AKV14" s="197"/>
      <c r="AKW14" s="197"/>
      <c r="AKX14" s="82"/>
      <c r="AKY14" s="82"/>
      <c r="AKZ14" s="198" t="s">
        <v>20</v>
      </c>
      <c r="ALA14" s="198"/>
      <c r="ALB14" s="198"/>
      <c r="ALC14" s="198"/>
      <c r="ALD14" s="102"/>
      <c r="ALE14" s="102"/>
      <c r="ALF14" s="197" t="s">
        <v>21</v>
      </c>
      <c r="ALG14" s="197"/>
      <c r="ALH14" s="197"/>
      <c r="ALI14" s="197"/>
      <c r="ALJ14" s="82"/>
      <c r="ALK14" s="82"/>
      <c r="ALL14" s="198" t="s">
        <v>22</v>
      </c>
      <c r="ALM14" s="198"/>
      <c r="ALN14" s="198"/>
      <c r="ALO14" s="198"/>
      <c r="ALP14" s="102"/>
      <c r="ALQ14" s="102"/>
      <c r="ALR14" s="197" t="s">
        <v>23</v>
      </c>
      <c r="ALS14" s="197"/>
      <c r="ALT14" s="197"/>
      <c r="ALU14" s="197"/>
      <c r="ALV14" s="82"/>
      <c r="ALW14" s="82"/>
      <c r="ALX14" s="198" t="s">
        <v>24</v>
      </c>
      <c r="ALY14" s="198"/>
      <c r="ALZ14" s="198"/>
      <c r="AMA14" s="198"/>
      <c r="AMB14" s="102"/>
      <c r="AMC14" s="102"/>
      <c r="AMD14" s="197" t="s">
        <v>25</v>
      </c>
      <c r="AME14" s="197"/>
      <c r="AMF14" s="197"/>
      <c r="AMG14" s="197"/>
      <c r="AMH14" s="82"/>
      <c r="AMI14" s="82"/>
      <c r="AMJ14" s="82"/>
      <c r="AMK14" s="83"/>
      <c r="AML14" s="81"/>
      <c r="AMM14" s="82"/>
      <c r="AMN14" s="82"/>
      <c r="AMO14" s="82"/>
      <c r="AMP14" s="197" t="s">
        <v>17</v>
      </c>
      <c r="AMQ14" s="197"/>
      <c r="AMR14" s="197"/>
      <c r="AMS14" s="197"/>
      <c r="AMT14" s="82"/>
      <c r="AMU14" s="82"/>
      <c r="AMV14" s="198" t="s">
        <v>18</v>
      </c>
      <c r="AMW14" s="198"/>
      <c r="AMX14" s="198"/>
      <c r="AMY14" s="198"/>
      <c r="AMZ14" s="102"/>
      <c r="ANA14" s="102"/>
      <c r="ANB14" s="197" t="s">
        <v>19</v>
      </c>
      <c r="ANC14" s="197"/>
      <c r="AND14" s="197"/>
      <c r="ANE14" s="197"/>
      <c r="ANF14" s="82"/>
      <c r="ANG14" s="82"/>
      <c r="ANH14" s="198" t="s">
        <v>20</v>
      </c>
      <c r="ANI14" s="198"/>
      <c r="ANJ14" s="198"/>
      <c r="ANK14" s="198"/>
      <c r="ANL14" s="102"/>
      <c r="ANM14" s="102"/>
      <c r="ANN14" s="197" t="s">
        <v>21</v>
      </c>
      <c r="ANO14" s="197"/>
      <c r="ANP14" s="197"/>
      <c r="ANQ14" s="197"/>
      <c r="ANR14" s="82"/>
      <c r="ANS14" s="82"/>
      <c r="ANT14" s="198" t="s">
        <v>22</v>
      </c>
      <c r="ANU14" s="198"/>
      <c r="ANV14" s="198"/>
      <c r="ANW14" s="198"/>
      <c r="ANX14" s="102"/>
      <c r="ANY14" s="102"/>
      <c r="ANZ14" s="197" t="s">
        <v>23</v>
      </c>
      <c r="AOA14" s="197"/>
      <c r="AOB14" s="197"/>
      <c r="AOC14" s="197"/>
      <c r="AOD14" s="82"/>
      <c r="AOE14" s="82"/>
      <c r="AOF14" s="198" t="s">
        <v>24</v>
      </c>
      <c r="AOG14" s="198"/>
      <c r="AOH14" s="198"/>
      <c r="AOI14" s="198"/>
      <c r="AOJ14" s="102"/>
      <c r="AOK14" s="102"/>
      <c r="AOL14" s="197" t="s">
        <v>25</v>
      </c>
      <c r="AOM14" s="197"/>
      <c r="AON14" s="197"/>
      <c r="AOO14" s="197"/>
      <c r="AOP14" s="82"/>
      <c r="AOQ14" s="82"/>
      <c r="AOR14" s="82"/>
      <c r="AOS14" s="83"/>
      <c r="AOT14" s="81"/>
      <c r="AOU14" s="82"/>
      <c r="AOV14" s="82"/>
      <c r="AOW14" s="82"/>
      <c r="AOX14" s="197" t="s">
        <v>17</v>
      </c>
      <c r="AOY14" s="197"/>
      <c r="AOZ14" s="197"/>
      <c r="APA14" s="197"/>
      <c r="APB14" s="82"/>
      <c r="APC14" s="82"/>
      <c r="APD14" s="198" t="s">
        <v>18</v>
      </c>
      <c r="APE14" s="198"/>
      <c r="APF14" s="198"/>
      <c r="APG14" s="198"/>
      <c r="APH14" s="102"/>
      <c r="API14" s="102"/>
      <c r="APJ14" s="197" t="s">
        <v>19</v>
      </c>
      <c r="APK14" s="197"/>
      <c r="APL14" s="197"/>
      <c r="APM14" s="197"/>
      <c r="APN14" s="82"/>
      <c r="APO14" s="82"/>
      <c r="APP14" s="198" t="s">
        <v>20</v>
      </c>
      <c r="APQ14" s="198"/>
      <c r="APR14" s="198"/>
      <c r="APS14" s="198"/>
      <c r="APT14" s="102"/>
      <c r="APU14" s="102"/>
      <c r="APV14" s="197" t="s">
        <v>21</v>
      </c>
      <c r="APW14" s="197"/>
      <c r="APX14" s="197"/>
      <c r="APY14" s="197"/>
      <c r="APZ14" s="82"/>
      <c r="AQA14" s="82"/>
      <c r="AQB14" s="198" t="s">
        <v>22</v>
      </c>
      <c r="AQC14" s="198"/>
      <c r="AQD14" s="198"/>
      <c r="AQE14" s="198"/>
      <c r="AQF14" s="102"/>
      <c r="AQG14" s="102"/>
      <c r="AQH14" s="197" t="s">
        <v>23</v>
      </c>
      <c r="AQI14" s="197"/>
      <c r="AQJ14" s="197"/>
      <c r="AQK14" s="197"/>
      <c r="AQL14" s="82"/>
      <c r="AQM14" s="82"/>
      <c r="AQN14" s="198" t="s">
        <v>24</v>
      </c>
      <c r="AQO14" s="198"/>
      <c r="AQP14" s="198"/>
      <c r="AQQ14" s="198"/>
      <c r="AQR14" s="102"/>
      <c r="AQS14" s="102"/>
      <c r="AQT14" s="197" t="s">
        <v>25</v>
      </c>
      <c r="AQU14" s="197"/>
      <c r="AQV14" s="197"/>
      <c r="AQW14" s="197"/>
      <c r="AQX14" s="82"/>
      <c r="AQY14" s="82"/>
      <c r="AQZ14" s="82"/>
      <c r="ARA14" s="83"/>
      <c r="ARB14" s="81"/>
      <c r="ARC14" s="82"/>
      <c r="ARD14" s="82"/>
      <c r="ARE14" s="82"/>
      <c r="ARF14" s="197" t="s">
        <v>17</v>
      </c>
      <c r="ARG14" s="197"/>
      <c r="ARH14" s="197"/>
      <c r="ARI14" s="197"/>
      <c r="ARJ14" s="82"/>
      <c r="ARK14" s="82"/>
      <c r="ARL14" s="198" t="s">
        <v>18</v>
      </c>
      <c r="ARM14" s="198"/>
      <c r="ARN14" s="198"/>
      <c r="ARO14" s="198"/>
      <c r="ARP14" s="102"/>
      <c r="ARQ14" s="102"/>
      <c r="ARR14" s="197" t="s">
        <v>19</v>
      </c>
      <c r="ARS14" s="197"/>
      <c r="ART14" s="197"/>
      <c r="ARU14" s="197"/>
      <c r="ARV14" s="82"/>
      <c r="ARW14" s="82"/>
      <c r="ARX14" s="198" t="s">
        <v>20</v>
      </c>
      <c r="ARY14" s="198"/>
      <c r="ARZ14" s="198"/>
      <c r="ASA14" s="198"/>
      <c r="ASB14" s="102"/>
      <c r="ASC14" s="102"/>
      <c r="ASD14" s="197" t="s">
        <v>21</v>
      </c>
      <c r="ASE14" s="197"/>
      <c r="ASF14" s="197"/>
      <c r="ASG14" s="197"/>
      <c r="ASH14" s="82"/>
      <c r="ASI14" s="82"/>
      <c r="ASJ14" s="198" t="s">
        <v>22</v>
      </c>
      <c r="ASK14" s="198"/>
      <c r="ASL14" s="198"/>
      <c r="ASM14" s="198"/>
      <c r="ASN14" s="102"/>
      <c r="ASO14" s="102"/>
      <c r="ASP14" s="197" t="s">
        <v>23</v>
      </c>
      <c r="ASQ14" s="197"/>
      <c r="ASR14" s="197"/>
      <c r="ASS14" s="197"/>
      <c r="AST14" s="82"/>
      <c r="ASU14" s="82"/>
      <c r="ASV14" s="198" t="s">
        <v>24</v>
      </c>
      <c r="ASW14" s="198"/>
      <c r="ASX14" s="198"/>
      <c r="ASY14" s="198"/>
      <c r="ASZ14" s="102"/>
      <c r="ATA14" s="102"/>
      <c r="ATB14" s="197" t="s">
        <v>25</v>
      </c>
      <c r="ATC14" s="197"/>
      <c r="ATD14" s="197"/>
      <c r="ATE14" s="197"/>
      <c r="ATF14" s="82"/>
      <c r="ATG14" s="82"/>
      <c r="ATH14" s="82"/>
      <c r="ATI14" s="83"/>
      <c r="ATJ14" s="81"/>
      <c r="ATK14" s="82"/>
      <c r="ATL14" s="82"/>
      <c r="ATM14" s="82"/>
      <c r="ATN14" s="197" t="s">
        <v>17</v>
      </c>
      <c r="ATO14" s="197"/>
      <c r="ATP14" s="197"/>
      <c r="ATQ14" s="197"/>
      <c r="ATR14" s="82"/>
      <c r="ATS14" s="82"/>
      <c r="ATT14" s="198" t="s">
        <v>18</v>
      </c>
      <c r="ATU14" s="198"/>
      <c r="ATV14" s="198"/>
      <c r="ATW14" s="198"/>
      <c r="ATX14" s="102"/>
      <c r="ATY14" s="102"/>
      <c r="ATZ14" s="197" t="s">
        <v>19</v>
      </c>
      <c r="AUA14" s="197"/>
      <c r="AUB14" s="197"/>
      <c r="AUC14" s="197"/>
      <c r="AUD14" s="82"/>
      <c r="AUE14" s="82"/>
      <c r="AUF14" s="198" t="s">
        <v>20</v>
      </c>
      <c r="AUG14" s="198"/>
      <c r="AUH14" s="198"/>
      <c r="AUI14" s="198"/>
      <c r="AUJ14" s="102"/>
      <c r="AUK14" s="102"/>
      <c r="AUL14" s="197" t="s">
        <v>21</v>
      </c>
      <c r="AUM14" s="197"/>
      <c r="AUN14" s="197"/>
      <c r="AUO14" s="197"/>
      <c r="AUP14" s="82"/>
      <c r="AUQ14" s="82"/>
      <c r="AUR14" s="198" t="s">
        <v>22</v>
      </c>
      <c r="AUS14" s="198"/>
      <c r="AUT14" s="198"/>
      <c r="AUU14" s="198"/>
      <c r="AUV14" s="102"/>
      <c r="AUW14" s="102"/>
      <c r="AUX14" s="197" t="s">
        <v>23</v>
      </c>
      <c r="AUY14" s="197"/>
      <c r="AUZ14" s="197"/>
      <c r="AVA14" s="197"/>
      <c r="AVB14" s="82"/>
      <c r="AVC14" s="82"/>
      <c r="AVD14" s="198" t="s">
        <v>24</v>
      </c>
      <c r="AVE14" s="198"/>
      <c r="AVF14" s="198"/>
      <c r="AVG14" s="198"/>
      <c r="AVH14" s="102"/>
      <c r="AVI14" s="102"/>
      <c r="AVJ14" s="197" t="s">
        <v>25</v>
      </c>
      <c r="AVK14" s="197"/>
      <c r="AVL14" s="197"/>
      <c r="AVM14" s="197"/>
      <c r="AVN14" s="82"/>
      <c r="AVO14" s="82"/>
      <c r="AVP14" s="82"/>
      <c r="AVQ14" s="83"/>
      <c r="AVR14" s="81"/>
      <c r="AVS14" s="82"/>
      <c r="AVT14" s="82"/>
      <c r="AVU14" s="82"/>
      <c r="AVV14" s="197" t="s">
        <v>17</v>
      </c>
      <c r="AVW14" s="197"/>
      <c r="AVX14" s="197"/>
      <c r="AVY14" s="197"/>
      <c r="AVZ14" s="82"/>
      <c r="AWA14" s="82"/>
      <c r="AWB14" s="198" t="s">
        <v>18</v>
      </c>
      <c r="AWC14" s="198"/>
      <c r="AWD14" s="198"/>
      <c r="AWE14" s="198"/>
      <c r="AWF14" s="102"/>
      <c r="AWG14" s="102"/>
      <c r="AWH14" s="197" t="s">
        <v>19</v>
      </c>
      <c r="AWI14" s="197"/>
      <c r="AWJ14" s="197"/>
      <c r="AWK14" s="197"/>
      <c r="AWL14" s="82"/>
      <c r="AWM14" s="82"/>
      <c r="AWN14" s="198" t="s">
        <v>20</v>
      </c>
      <c r="AWO14" s="198"/>
      <c r="AWP14" s="198"/>
      <c r="AWQ14" s="198"/>
      <c r="AWR14" s="102"/>
      <c r="AWS14" s="102"/>
      <c r="AWT14" s="197" t="s">
        <v>21</v>
      </c>
      <c r="AWU14" s="197"/>
      <c r="AWV14" s="197"/>
      <c r="AWW14" s="197"/>
      <c r="AWX14" s="82"/>
      <c r="AWY14" s="82"/>
      <c r="AWZ14" s="198" t="s">
        <v>22</v>
      </c>
      <c r="AXA14" s="198"/>
      <c r="AXB14" s="198"/>
      <c r="AXC14" s="198"/>
      <c r="AXD14" s="102"/>
      <c r="AXE14" s="102"/>
      <c r="AXF14" s="197" t="s">
        <v>23</v>
      </c>
      <c r="AXG14" s="197"/>
      <c r="AXH14" s="197"/>
      <c r="AXI14" s="197"/>
      <c r="AXJ14" s="82"/>
      <c r="AXK14" s="82"/>
      <c r="AXL14" s="198" t="s">
        <v>24</v>
      </c>
      <c r="AXM14" s="198"/>
      <c r="AXN14" s="198"/>
      <c r="AXO14" s="198"/>
      <c r="AXP14" s="102"/>
      <c r="AXQ14" s="102"/>
      <c r="AXR14" s="197" t="s">
        <v>25</v>
      </c>
      <c r="AXS14" s="197"/>
      <c r="AXT14" s="197"/>
      <c r="AXU14" s="197"/>
      <c r="AXV14" s="82"/>
      <c r="AXW14" s="82"/>
      <c r="AXX14" s="82"/>
      <c r="AXY14" s="83"/>
      <c r="AXZ14" s="81"/>
      <c r="AYA14" s="82"/>
      <c r="AYB14" s="82"/>
      <c r="AYC14" s="82"/>
      <c r="AYD14" s="197" t="s">
        <v>17</v>
      </c>
      <c r="AYE14" s="197"/>
      <c r="AYF14" s="197"/>
      <c r="AYG14" s="197"/>
      <c r="AYH14" s="82"/>
      <c r="AYI14" s="82"/>
      <c r="AYJ14" s="198" t="s">
        <v>18</v>
      </c>
      <c r="AYK14" s="198"/>
      <c r="AYL14" s="198"/>
      <c r="AYM14" s="198"/>
      <c r="AYN14" s="102"/>
      <c r="AYO14" s="102"/>
      <c r="AYP14" s="197" t="s">
        <v>19</v>
      </c>
      <c r="AYQ14" s="197"/>
      <c r="AYR14" s="197"/>
      <c r="AYS14" s="197"/>
      <c r="AYT14" s="82"/>
      <c r="AYU14" s="82"/>
      <c r="AYV14" s="198" t="s">
        <v>20</v>
      </c>
      <c r="AYW14" s="198"/>
      <c r="AYX14" s="198"/>
      <c r="AYY14" s="198"/>
      <c r="AYZ14" s="102"/>
      <c r="AZA14" s="102"/>
      <c r="AZB14" s="197" t="s">
        <v>21</v>
      </c>
      <c r="AZC14" s="197"/>
      <c r="AZD14" s="197"/>
      <c r="AZE14" s="197"/>
      <c r="AZF14" s="82"/>
      <c r="AZG14" s="82"/>
      <c r="AZH14" s="198" t="s">
        <v>22</v>
      </c>
      <c r="AZI14" s="198"/>
      <c r="AZJ14" s="198"/>
      <c r="AZK14" s="198"/>
      <c r="AZL14" s="102"/>
      <c r="AZM14" s="102"/>
      <c r="AZN14" s="197" t="s">
        <v>23</v>
      </c>
      <c r="AZO14" s="197"/>
      <c r="AZP14" s="197"/>
      <c r="AZQ14" s="197"/>
      <c r="AZR14" s="82"/>
      <c r="AZS14" s="82"/>
      <c r="AZT14" s="198" t="s">
        <v>24</v>
      </c>
      <c r="AZU14" s="198"/>
      <c r="AZV14" s="198"/>
      <c r="AZW14" s="198"/>
      <c r="AZX14" s="102"/>
      <c r="AZY14" s="102"/>
      <c r="AZZ14" s="197" t="s">
        <v>25</v>
      </c>
      <c r="BAA14" s="197"/>
      <c r="BAB14" s="197"/>
      <c r="BAC14" s="197"/>
      <c r="BAD14" s="82"/>
      <c r="BAE14" s="82"/>
      <c r="BAF14" s="82"/>
      <c r="BAG14" s="83"/>
      <c r="BAH14" s="81"/>
      <c r="BAI14" s="82"/>
      <c r="BAJ14" s="82"/>
      <c r="BAK14" s="82"/>
      <c r="BAL14" s="197" t="s">
        <v>17</v>
      </c>
      <c r="BAM14" s="197"/>
      <c r="BAN14" s="197"/>
      <c r="BAO14" s="197"/>
      <c r="BAP14" s="82"/>
      <c r="BAQ14" s="82"/>
      <c r="BAR14" s="198" t="s">
        <v>18</v>
      </c>
      <c r="BAS14" s="198"/>
      <c r="BAT14" s="198"/>
      <c r="BAU14" s="198"/>
      <c r="BAV14" s="102"/>
      <c r="BAW14" s="102"/>
      <c r="BAX14" s="197" t="s">
        <v>19</v>
      </c>
      <c r="BAY14" s="197"/>
      <c r="BAZ14" s="197"/>
      <c r="BBA14" s="197"/>
      <c r="BBB14" s="82"/>
      <c r="BBC14" s="82"/>
      <c r="BBD14" s="198" t="s">
        <v>20</v>
      </c>
      <c r="BBE14" s="198"/>
      <c r="BBF14" s="198"/>
      <c r="BBG14" s="198"/>
      <c r="BBH14" s="102"/>
      <c r="BBI14" s="102"/>
      <c r="BBJ14" s="197" t="s">
        <v>21</v>
      </c>
      <c r="BBK14" s="197"/>
      <c r="BBL14" s="197"/>
      <c r="BBM14" s="197"/>
      <c r="BBN14" s="82"/>
      <c r="BBO14" s="82"/>
      <c r="BBP14" s="198" t="s">
        <v>22</v>
      </c>
      <c r="BBQ14" s="198"/>
      <c r="BBR14" s="198"/>
      <c r="BBS14" s="198"/>
      <c r="BBT14" s="102"/>
      <c r="BBU14" s="102"/>
      <c r="BBV14" s="197" t="s">
        <v>23</v>
      </c>
      <c r="BBW14" s="197"/>
      <c r="BBX14" s="197"/>
      <c r="BBY14" s="197"/>
      <c r="BBZ14" s="82"/>
      <c r="BCA14" s="82"/>
      <c r="BCB14" s="198" t="s">
        <v>24</v>
      </c>
      <c r="BCC14" s="198"/>
      <c r="BCD14" s="198"/>
      <c r="BCE14" s="198"/>
      <c r="BCF14" s="102"/>
      <c r="BCG14" s="102"/>
      <c r="BCH14" s="197" t="s">
        <v>25</v>
      </c>
      <c r="BCI14" s="197"/>
      <c r="BCJ14" s="197"/>
      <c r="BCK14" s="197"/>
      <c r="BCL14" s="82"/>
      <c r="BCM14" s="82"/>
      <c r="BCN14" s="82"/>
      <c r="BCO14" s="83"/>
      <c r="BCP14" s="81"/>
      <c r="BCQ14" s="82"/>
      <c r="BCR14" s="82"/>
      <c r="BCS14" s="82"/>
      <c r="BCT14" s="197" t="s">
        <v>17</v>
      </c>
      <c r="BCU14" s="197"/>
      <c r="BCV14" s="197"/>
      <c r="BCW14" s="197"/>
      <c r="BCX14" s="82"/>
      <c r="BCY14" s="82"/>
      <c r="BCZ14" s="198" t="s">
        <v>18</v>
      </c>
      <c r="BDA14" s="198"/>
      <c r="BDB14" s="198"/>
      <c r="BDC14" s="198"/>
      <c r="BDD14" s="102"/>
      <c r="BDE14" s="102"/>
      <c r="BDF14" s="197" t="s">
        <v>19</v>
      </c>
      <c r="BDG14" s="197"/>
      <c r="BDH14" s="197"/>
      <c r="BDI14" s="197"/>
      <c r="BDJ14" s="82"/>
      <c r="BDK14" s="82"/>
      <c r="BDL14" s="198" t="s">
        <v>20</v>
      </c>
      <c r="BDM14" s="198"/>
      <c r="BDN14" s="198"/>
      <c r="BDO14" s="198"/>
      <c r="BDP14" s="102"/>
      <c r="BDQ14" s="102"/>
      <c r="BDR14" s="197" t="s">
        <v>21</v>
      </c>
      <c r="BDS14" s="197"/>
      <c r="BDT14" s="197"/>
      <c r="BDU14" s="197"/>
      <c r="BDV14" s="82"/>
      <c r="BDW14" s="82"/>
      <c r="BDX14" s="198" t="s">
        <v>22</v>
      </c>
      <c r="BDY14" s="198"/>
      <c r="BDZ14" s="198"/>
      <c r="BEA14" s="198"/>
      <c r="BEB14" s="102"/>
      <c r="BEC14" s="102"/>
      <c r="BED14" s="197" t="s">
        <v>23</v>
      </c>
      <c r="BEE14" s="197"/>
      <c r="BEF14" s="197"/>
      <c r="BEG14" s="197"/>
      <c r="BEH14" s="82"/>
      <c r="BEI14" s="82"/>
      <c r="BEJ14" s="198" t="s">
        <v>24</v>
      </c>
      <c r="BEK14" s="198"/>
      <c r="BEL14" s="198"/>
      <c r="BEM14" s="198"/>
      <c r="BEN14" s="102"/>
      <c r="BEO14" s="102"/>
      <c r="BEP14" s="197" t="s">
        <v>25</v>
      </c>
      <c r="BEQ14" s="197"/>
      <c r="BER14" s="197"/>
      <c r="BES14" s="197"/>
      <c r="BET14" s="82"/>
      <c r="BEU14" s="82"/>
      <c r="BEV14" s="82"/>
      <c r="BEW14" s="83"/>
      <c r="BEX14" s="81"/>
      <c r="BEY14" s="82"/>
      <c r="BEZ14" s="82"/>
      <c r="BFA14" s="82"/>
      <c r="BFB14" s="197" t="s">
        <v>17</v>
      </c>
      <c r="BFC14" s="197"/>
      <c r="BFD14" s="197"/>
      <c r="BFE14" s="197"/>
      <c r="BFF14" s="82"/>
      <c r="BFG14" s="82"/>
      <c r="BFH14" s="198" t="s">
        <v>18</v>
      </c>
      <c r="BFI14" s="198"/>
      <c r="BFJ14" s="198"/>
      <c r="BFK14" s="198"/>
      <c r="BFL14" s="102"/>
      <c r="BFM14" s="102"/>
      <c r="BFN14" s="197" t="s">
        <v>19</v>
      </c>
      <c r="BFO14" s="197"/>
      <c r="BFP14" s="197"/>
      <c r="BFQ14" s="197"/>
      <c r="BFR14" s="82"/>
      <c r="BFS14" s="82"/>
      <c r="BFT14" s="198" t="s">
        <v>20</v>
      </c>
      <c r="BFU14" s="198"/>
      <c r="BFV14" s="198"/>
      <c r="BFW14" s="198"/>
      <c r="BFX14" s="102"/>
      <c r="BFY14" s="102"/>
      <c r="BFZ14" s="197" t="s">
        <v>21</v>
      </c>
      <c r="BGA14" s="197"/>
      <c r="BGB14" s="197"/>
      <c r="BGC14" s="197"/>
      <c r="BGD14" s="82"/>
      <c r="BGE14" s="82"/>
      <c r="BGF14" s="198" t="s">
        <v>22</v>
      </c>
      <c r="BGG14" s="198"/>
      <c r="BGH14" s="198"/>
      <c r="BGI14" s="198"/>
      <c r="BGJ14" s="102"/>
      <c r="BGK14" s="102"/>
      <c r="BGL14" s="197" t="s">
        <v>23</v>
      </c>
      <c r="BGM14" s="197"/>
      <c r="BGN14" s="197"/>
      <c r="BGO14" s="197"/>
      <c r="BGP14" s="82"/>
      <c r="BGQ14" s="82"/>
      <c r="BGR14" s="198" t="s">
        <v>24</v>
      </c>
      <c r="BGS14" s="198"/>
      <c r="BGT14" s="198"/>
      <c r="BGU14" s="198"/>
      <c r="BGV14" s="102"/>
      <c r="BGW14" s="102"/>
      <c r="BGX14" s="197" t="s">
        <v>25</v>
      </c>
      <c r="BGY14" s="197"/>
      <c r="BGZ14" s="197"/>
      <c r="BHA14" s="197"/>
      <c r="BHB14" s="82"/>
      <c r="BHC14" s="82"/>
      <c r="BHD14" s="82"/>
      <c r="BHE14" s="83"/>
      <c r="BHF14" s="81"/>
      <c r="BHG14" s="82"/>
      <c r="BHH14" s="82"/>
      <c r="BHI14" s="82"/>
      <c r="BHJ14" s="197" t="s">
        <v>17</v>
      </c>
      <c r="BHK14" s="197"/>
      <c r="BHL14" s="197"/>
      <c r="BHM14" s="197"/>
      <c r="BHN14" s="82"/>
      <c r="BHO14" s="82"/>
      <c r="BHP14" s="198" t="s">
        <v>18</v>
      </c>
      <c r="BHQ14" s="198"/>
      <c r="BHR14" s="198"/>
      <c r="BHS14" s="198"/>
      <c r="BHT14" s="102"/>
      <c r="BHU14" s="102"/>
      <c r="BHV14" s="197" t="s">
        <v>19</v>
      </c>
      <c r="BHW14" s="197"/>
      <c r="BHX14" s="197"/>
      <c r="BHY14" s="197"/>
      <c r="BHZ14" s="82"/>
      <c r="BIA14" s="82"/>
      <c r="BIB14" s="198" t="s">
        <v>20</v>
      </c>
      <c r="BIC14" s="198"/>
      <c r="BID14" s="198"/>
      <c r="BIE14" s="198"/>
      <c r="BIF14" s="102"/>
      <c r="BIG14" s="102"/>
      <c r="BIH14" s="197" t="s">
        <v>21</v>
      </c>
      <c r="BII14" s="197"/>
      <c r="BIJ14" s="197"/>
      <c r="BIK14" s="197"/>
      <c r="BIL14" s="82"/>
      <c r="BIM14" s="82"/>
      <c r="BIN14" s="198" t="s">
        <v>22</v>
      </c>
      <c r="BIO14" s="198"/>
      <c r="BIP14" s="198"/>
      <c r="BIQ14" s="198"/>
      <c r="BIR14" s="102"/>
      <c r="BIS14" s="102"/>
      <c r="BIT14" s="197" t="s">
        <v>23</v>
      </c>
      <c r="BIU14" s="197"/>
      <c r="BIV14" s="197"/>
      <c r="BIW14" s="197"/>
      <c r="BIX14" s="82"/>
      <c r="BIY14" s="82"/>
      <c r="BIZ14" s="198" t="s">
        <v>24</v>
      </c>
      <c r="BJA14" s="198"/>
      <c r="BJB14" s="198"/>
      <c r="BJC14" s="198"/>
      <c r="BJD14" s="102"/>
      <c r="BJE14" s="102"/>
      <c r="BJF14" s="197" t="s">
        <v>25</v>
      </c>
      <c r="BJG14" s="197"/>
      <c r="BJH14" s="197"/>
      <c r="BJI14" s="197"/>
      <c r="BJJ14" s="82"/>
      <c r="BJK14" s="82"/>
      <c r="BJL14" s="82"/>
      <c r="BJM14" s="83"/>
      <c r="BJN14" s="73"/>
    </row>
    <row r="15" spans="1:1626" ht="20.100000000000001" customHeight="1" x14ac:dyDescent="0.25">
      <c r="A15" s="78" t="s">
        <v>26</v>
      </c>
      <c r="B15" s="51" t="str">
        <f>IF(LEN(C15)=0,"",C15)</f>
        <v xml:space="preserve">Absences - Imprévus </v>
      </c>
      <c r="C15" s="218"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200"/>
      <c r="D16" s="120" t="str">
        <f t="shared" ref="D16:D79" si="0">setValueToTime(E16)</f>
        <v/>
      </c>
      <c r="E16" s="30">
        <v>0</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25"/>
      <c r="GE16" s="226"/>
      <c r="GF16" s="226"/>
      <c r="GG16" s="226"/>
      <c r="GH16" s="226"/>
      <c r="GI16" s="227"/>
      <c r="GJ16" s="226"/>
      <c r="GK16" s="226"/>
      <c r="GL16" s="226"/>
      <c r="GM16" s="226"/>
      <c r="GN16" s="226"/>
      <c r="GO16" s="228"/>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25"/>
      <c r="NC16" s="226"/>
      <c r="ND16" s="226"/>
      <c r="NE16" s="226"/>
      <c r="NF16" s="226"/>
      <c r="NG16" s="227"/>
      <c r="NH16" s="226"/>
      <c r="NI16" s="226"/>
      <c r="NJ16" s="226"/>
      <c r="NK16" s="226"/>
      <c r="NL16" s="226"/>
      <c r="NM16" s="228"/>
      <c r="NN16" s="226"/>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25"/>
      <c r="AKE16" s="226"/>
      <c r="AKF16" s="226"/>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73"/>
    </row>
    <row r="17" spans="1:1626" ht="20.100000000000001" customHeight="1" x14ac:dyDescent="0.25">
      <c r="A17" s="78" t="s">
        <v>26</v>
      </c>
      <c r="B17" s="51" t="str">
        <f>IF(LEN(C19)=0,"",C19)</f>
        <v>Analyse - MCD/MLD/MPD</v>
      </c>
      <c r="C17" s="199"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200"/>
      <c r="D18" s="121" t="str">
        <f t="shared" si="0"/>
        <v xml:space="preserve"> 25 min</v>
      </c>
      <c r="E18" s="30">
        <v>5</v>
      </c>
      <c r="F18" s="231"/>
      <c r="G18" s="232"/>
      <c r="H18" s="232"/>
      <c r="I18" s="232"/>
      <c r="J18" s="232"/>
      <c r="K18" s="233"/>
      <c r="L18" s="232"/>
      <c r="M18" s="232"/>
      <c r="N18" s="232"/>
      <c r="O18" s="168"/>
      <c r="P18" s="168"/>
      <c r="Q18" s="172"/>
      <c r="R18" s="168"/>
      <c r="S18" s="168"/>
      <c r="T18" s="232"/>
      <c r="U18" s="232"/>
      <c r="V18" s="232"/>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231"/>
      <c r="BO18" s="232"/>
      <c r="BP18" s="232"/>
      <c r="BQ18" s="232"/>
      <c r="BR18" s="232"/>
      <c r="BS18" s="233"/>
      <c r="BT18" s="232"/>
      <c r="BU18" s="232"/>
      <c r="BV18" s="232"/>
      <c r="BW18" s="232"/>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232"/>
      <c r="EO18" s="232"/>
      <c r="EP18" s="232"/>
      <c r="EQ18" s="232"/>
      <c r="ER18" s="232"/>
      <c r="ES18" s="234"/>
      <c r="ET18" s="232"/>
      <c r="EU18" s="232"/>
      <c r="EV18" s="232"/>
      <c r="EW18" s="232"/>
      <c r="EX18" s="232"/>
      <c r="EY18" s="235"/>
      <c r="EZ18" s="232"/>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231"/>
      <c r="GE18" s="232"/>
      <c r="GF18" s="232"/>
      <c r="GG18" s="232"/>
      <c r="GH18" s="232"/>
      <c r="GI18" s="233"/>
      <c r="GJ18" s="232"/>
      <c r="GK18" s="232"/>
      <c r="GL18" s="232"/>
      <c r="GM18" s="232"/>
      <c r="GN18" s="232"/>
      <c r="GO18" s="234"/>
      <c r="GP18" s="232"/>
      <c r="GQ18" s="232"/>
      <c r="GR18" s="232"/>
      <c r="GS18" s="232"/>
      <c r="GT18" s="232"/>
      <c r="GU18" s="235"/>
      <c r="GV18" s="232"/>
      <c r="GW18" s="232"/>
      <c r="GX18" s="232"/>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232"/>
      <c r="KW18" s="232"/>
      <c r="KX18" s="232"/>
      <c r="KY18" s="233"/>
      <c r="KZ18" s="232"/>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231"/>
      <c r="PK18" s="232"/>
      <c r="PL18" s="232"/>
      <c r="PM18" s="232"/>
      <c r="PN18" s="232"/>
      <c r="PO18" s="233"/>
      <c r="PP18" s="232"/>
      <c r="PQ18" s="232"/>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73"/>
    </row>
    <row r="19" spans="1:1626" ht="20.100000000000001" customHeight="1" x14ac:dyDescent="0.25">
      <c r="A19" s="78" t="s">
        <v>26</v>
      </c>
      <c r="B19" s="51" t="str">
        <f>IF(LEN(C23)=0,"",C23)</f>
        <v>Backend - CRUD movies</v>
      </c>
      <c r="C19" s="199"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200"/>
      <c r="D20" s="120" t="str">
        <f t="shared" si="0"/>
        <v>2h 20 min</v>
      </c>
      <c r="E20" s="22">
        <v>28</v>
      </c>
      <c r="F20" s="225"/>
      <c r="G20" s="226"/>
      <c r="H20" s="226"/>
      <c r="I20" s="226"/>
      <c r="J20" s="226"/>
      <c r="K20" s="227"/>
      <c r="L20" s="226"/>
      <c r="M20" s="226"/>
      <c r="N20" s="226"/>
      <c r="O20" s="226"/>
      <c r="P20" s="226"/>
      <c r="Q20" s="228"/>
      <c r="R20" s="226"/>
      <c r="S20" s="226"/>
      <c r="T20" s="226"/>
      <c r="U20" s="226"/>
      <c r="V20" s="226"/>
      <c r="W20" s="235"/>
      <c r="X20" s="226"/>
      <c r="Y20" s="226"/>
      <c r="Z20" s="226"/>
      <c r="AA20" s="226"/>
      <c r="AB20" s="226"/>
      <c r="AC20" s="228"/>
      <c r="AD20" s="226"/>
      <c r="AE20" s="226"/>
      <c r="AF20" s="226"/>
      <c r="AG20" s="226"/>
      <c r="AH20" s="226"/>
      <c r="AI20" s="235"/>
      <c r="AJ20" s="226"/>
      <c r="AK20" s="226"/>
      <c r="AL20" s="226"/>
      <c r="AM20" s="226"/>
      <c r="AN20" s="226"/>
      <c r="AO20" s="228"/>
      <c r="AP20" s="226"/>
      <c r="AQ20" s="226"/>
      <c r="AR20" s="226"/>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226"/>
      <c r="BQ20" s="226"/>
      <c r="BR20" s="226"/>
      <c r="BS20" s="227"/>
      <c r="BT20" s="226"/>
      <c r="BU20" s="226"/>
      <c r="BV20" s="226"/>
      <c r="BW20" s="226"/>
      <c r="BX20" s="226"/>
      <c r="BY20" s="228"/>
      <c r="BZ20" s="226"/>
      <c r="CA20" s="226"/>
      <c r="CB20" s="226"/>
      <c r="CC20" s="226"/>
      <c r="CD20" s="226"/>
      <c r="CE20" s="235"/>
      <c r="CF20" s="226"/>
      <c r="CG20" s="226"/>
      <c r="CH20" s="226"/>
      <c r="CI20" s="226"/>
      <c r="CJ20" s="226"/>
      <c r="CK20" s="228"/>
      <c r="CL20" s="226"/>
      <c r="CM20" s="226"/>
      <c r="CN20" s="226"/>
      <c r="CO20" s="226"/>
      <c r="CP20" s="226"/>
      <c r="CQ20" s="235"/>
      <c r="CR20" s="226"/>
      <c r="CS20" s="226"/>
      <c r="CT20" s="226"/>
      <c r="CU20" s="226"/>
      <c r="CV20" s="226"/>
      <c r="CW20" s="228"/>
      <c r="CX20" s="226"/>
      <c r="CY20" s="226"/>
      <c r="CZ20" s="226"/>
      <c r="DA20" s="226"/>
      <c r="DB20" s="232"/>
      <c r="DC20" s="235"/>
      <c r="DD20" s="226"/>
      <c r="DE20" s="226"/>
      <c r="DF20" s="226"/>
      <c r="DG20" s="226"/>
      <c r="DH20" s="226"/>
      <c r="DI20" s="228"/>
      <c r="DJ20" s="226"/>
      <c r="DK20" s="226"/>
      <c r="DL20" s="226"/>
      <c r="DM20" s="226"/>
      <c r="DN20" s="226"/>
      <c r="DO20" s="235"/>
      <c r="DP20" s="226"/>
      <c r="DQ20" s="226"/>
      <c r="DR20" s="226"/>
      <c r="DS20" s="226"/>
      <c r="DT20" s="226"/>
      <c r="DU20" s="230"/>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226"/>
      <c r="QU20" s="226"/>
      <c r="QV20" s="226"/>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25"/>
      <c r="UA20" s="226"/>
      <c r="UB20" s="226"/>
      <c r="UC20" s="226"/>
      <c r="UD20" s="226"/>
      <c r="UE20" s="227"/>
      <c r="UF20" s="226"/>
      <c r="UG20" s="226"/>
      <c r="UH20" s="226"/>
      <c r="UI20" s="226"/>
      <c r="UJ20" s="226"/>
      <c r="UK20" s="228"/>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73"/>
    </row>
    <row r="21" spans="1:1626" ht="20.100000000000001" customHeight="1" x14ac:dyDescent="0.25">
      <c r="A21" s="78" t="s">
        <v>26</v>
      </c>
      <c r="B21" s="51" t="str">
        <f>IF(LEN(C27)=0,"",C27)</f>
        <v>Backend - Détails/revue et finalistations</v>
      </c>
      <c r="C21" s="199"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200"/>
      <c r="D22" s="120" t="str">
        <f t="shared" si="0"/>
        <v>3h 30 min</v>
      </c>
      <c r="E22" s="30">
        <v>42</v>
      </c>
      <c r="F22" s="231"/>
      <c r="G22" s="232"/>
      <c r="H22" s="232"/>
      <c r="I22" s="232"/>
      <c r="J22" s="232"/>
      <c r="K22" s="233"/>
      <c r="L22" s="232"/>
      <c r="M22" s="232"/>
      <c r="N22" s="232"/>
      <c r="O22" s="232"/>
      <c r="P22" s="232"/>
      <c r="Q22" s="234"/>
      <c r="R22" s="232"/>
      <c r="S22" s="232"/>
      <c r="T22" s="232"/>
      <c r="U22" s="232"/>
      <c r="V22" s="232"/>
      <c r="W22" s="235"/>
      <c r="X22" s="232"/>
      <c r="Y22" s="168"/>
      <c r="Z22" s="168"/>
      <c r="AA22" s="168"/>
      <c r="AB22" s="168"/>
      <c r="AC22" s="172"/>
      <c r="AD22" s="168"/>
      <c r="AE22" s="168"/>
      <c r="AF22" s="168"/>
      <c r="AG22" s="168"/>
      <c r="AH22" s="168"/>
      <c r="AI22" s="169"/>
      <c r="AJ22" s="168"/>
      <c r="AK22" s="168"/>
      <c r="AL22" s="168"/>
      <c r="AM22" s="168"/>
      <c r="AN22" s="168"/>
      <c r="AO22" s="172"/>
      <c r="AP22" s="168"/>
      <c r="AQ22" s="168"/>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231"/>
      <c r="DW22" s="232"/>
      <c r="DX22" s="232"/>
      <c r="DY22" s="232"/>
      <c r="DZ22" s="232"/>
      <c r="EA22" s="233"/>
      <c r="EB22" s="232"/>
      <c r="EC22" s="232"/>
      <c r="ED22" s="232"/>
      <c r="EE22" s="232"/>
      <c r="EF22" s="232"/>
      <c r="EG22" s="234"/>
      <c r="EH22" s="232"/>
      <c r="EI22" s="232"/>
      <c r="EJ22" s="232"/>
      <c r="EK22" s="232"/>
      <c r="EL22" s="232"/>
      <c r="EM22" s="235"/>
      <c r="EN22" s="232"/>
      <c r="EO22" s="232"/>
      <c r="EP22" s="232"/>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232"/>
      <c r="GN22" s="232"/>
      <c r="GO22" s="234"/>
      <c r="GP22" s="232"/>
      <c r="GQ22" s="232"/>
      <c r="GR22" s="232"/>
      <c r="GS22" s="232"/>
      <c r="GT22" s="232"/>
      <c r="GU22" s="235"/>
      <c r="GV22" s="232"/>
      <c r="GW22" s="232"/>
      <c r="GX22" s="232"/>
      <c r="GY22" s="232"/>
      <c r="GZ22" s="232"/>
      <c r="HA22" s="234"/>
      <c r="HB22" s="232"/>
      <c r="HC22" s="232"/>
      <c r="HD22" s="232"/>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232"/>
      <c r="QP22" s="232"/>
      <c r="QQ22" s="232"/>
      <c r="QR22" s="232"/>
      <c r="QS22" s="234"/>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231"/>
      <c r="AFO22" s="232"/>
      <c r="AFP22" s="232"/>
      <c r="AFQ22" s="232"/>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73"/>
    </row>
    <row r="23" spans="1:1626" ht="20.100000000000001" customHeight="1" x14ac:dyDescent="0.25">
      <c r="A23" s="78" t="s">
        <v>26</v>
      </c>
      <c r="B23" s="51" t="str">
        <f>IF(LEN(C31)=0,"",C31)</f>
        <v>Backend - gestion des erreurs</v>
      </c>
      <c r="C23" s="199"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200"/>
      <c r="D24" s="120" t="str">
        <f t="shared" si="0"/>
        <v/>
      </c>
      <c r="E24" s="22">
        <v>0</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228"/>
      <c r="JJ24" s="226"/>
      <c r="JK24" s="226"/>
      <c r="JL24" s="226"/>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225"/>
      <c r="KU24" s="226"/>
      <c r="KV24" s="226"/>
      <c r="KW24" s="226"/>
      <c r="KX24" s="226"/>
      <c r="KY24" s="227"/>
      <c r="KZ24" s="226"/>
      <c r="LA24" s="226"/>
      <c r="LB24" s="226"/>
      <c r="LC24" s="226"/>
      <c r="LD24" s="226"/>
      <c r="LE24" s="228"/>
      <c r="LF24" s="226"/>
      <c r="LG24" s="226"/>
      <c r="LH24" s="226"/>
      <c r="LI24" s="226"/>
      <c r="LJ24" s="226"/>
      <c r="LK24" s="229"/>
      <c r="LL24" s="226"/>
      <c r="LM24" s="226"/>
      <c r="LN24" s="226"/>
      <c r="LO24" s="226"/>
      <c r="LP24" s="226"/>
      <c r="LQ24" s="228"/>
      <c r="LR24" s="226"/>
      <c r="LS24" s="226"/>
      <c r="LT24" s="226"/>
      <c r="LU24" s="226"/>
      <c r="LV24" s="226"/>
      <c r="LW24" s="229"/>
      <c r="LX24" s="226"/>
      <c r="LY24" s="226"/>
      <c r="LZ24" s="226"/>
      <c r="MA24" s="226"/>
      <c r="MB24" s="226"/>
      <c r="MC24" s="228"/>
      <c r="MD24" s="226"/>
      <c r="ME24" s="226"/>
      <c r="MF24" s="226"/>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225"/>
      <c r="NC24" s="226"/>
      <c r="ND24" s="226"/>
      <c r="NE24" s="226"/>
      <c r="NF24" s="226"/>
      <c r="NG24" s="227"/>
      <c r="NH24" s="226"/>
      <c r="NI24" s="226"/>
      <c r="NJ24" s="226"/>
      <c r="NK24" s="226"/>
      <c r="NL24" s="226"/>
      <c r="NM24" s="228"/>
      <c r="NN24" s="226"/>
      <c r="NO24" s="226"/>
      <c r="NP24" s="226"/>
      <c r="NQ24" s="226"/>
      <c r="NR24" s="226"/>
      <c r="NS24" s="229"/>
      <c r="NT24" s="226"/>
      <c r="NU24" s="226"/>
      <c r="NV24" s="226"/>
      <c r="NW24" s="226"/>
      <c r="NX24" s="226"/>
      <c r="NY24" s="228"/>
      <c r="NZ24" s="226"/>
      <c r="OA24" s="226"/>
      <c r="OB24" s="226"/>
      <c r="OC24" s="226"/>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225"/>
      <c r="RS24" s="226"/>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225"/>
      <c r="YQ24" s="226"/>
      <c r="YR24" s="226"/>
      <c r="YS24" s="226"/>
      <c r="YT24" s="226"/>
      <c r="YU24" s="227"/>
      <c r="YV24" s="226"/>
      <c r="YW24" s="226"/>
      <c r="YX24" s="226"/>
      <c r="YY24" s="226"/>
      <c r="YZ24" s="226"/>
      <c r="ZA24" s="228"/>
      <c r="ZB24" s="226"/>
      <c r="ZC24" s="226"/>
      <c r="ZD24" s="226"/>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73"/>
    </row>
    <row r="25" spans="1:1626" ht="20.100000000000001" customHeight="1" x14ac:dyDescent="0.25">
      <c r="A25" s="78" t="s">
        <v>26</v>
      </c>
      <c r="B25" s="51" t="str">
        <f>IF(LEN(C35)=0,"",C35)</f>
        <v>Backend - Initialisation structure Laravel</v>
      </c>
      <c r="C25" s="199"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5"/>
      <c r="D26" s="121" t="str">
        <f t="shared" si="0"/>
        <v/>
      </c>
      <c r="E26" s="30">
        <v>0</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232"/>
      <c r="OE26" s="235"/>
      <c r="OF26" s="232"/>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231"/>
      <c r="PK26" s="232"/>
      <c r="PL26" s="232"/>
      <c r="PM26" s="232"/>
      <c r="PN26" s="232"/>
      <c r="PO26" s="233"/>
      <c r="PP26" s="232"/>
      <c r="PQ26" s="232"/>
      <c r="PR26" s="232"/>
      <c r="PS26" s="232"/>
      <c r="PT26" s="232"/>
      <c r="PU26" s="234"/>
      <c r="PV26" s="232"/>
      <c r="PW26" s="232"/>
      <c r="PX26" s="232"/>
      <c r="PY26" s="232"/>
      <c r="PZ26" s="232"/>
      <c r="QA26" s="235"/>
      <c r="QB26" s="232"/>
      <c r="QC26" s="232"/>
      <c r="QD26" s="232"/>
      <c r="QE26" s="232"/>
      <c r="QF26" s="232"/>
      <c r="QG26" s="234"/>
      <c r="QH26" s="232"/>
      <c r="QI26" s="232"/>
      <c r="QJ26" s="232"/>
      <c r="QK26" s="232"/>
      <c r="QL26" s="232"/>
      <c r="QM26" s="235"/>
      <c r="QN26" s="232"/>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232"/>
      <c r="RU26" s="232"/>
      <c r="RV26" s="232"/>
      <c r="RW26" s="233"/>
      <c r="RX26" s="232"/>
      <c r="RY26" s="232"/>
      <c r="RZ26" s="232"/>
      <c r="SA26" s="232"/>
      <c r="SB26" s="232"/>
      <c r="SC26" s="234"/>
      <c r="SD26" s="232"/>
      <c r="SE26" s="232"/>
      <c r="SF26" s="232"/>
      <c r="SG26" s="232"/>
      <c r="SH26" s="232"/>
      <c r="SI26" s="23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232"/>
      <c r="ZF26" s="232"/>
      <c r="ZG26" s="235"/>
      <c r="ZH26" s="232"/>
      <c r="ZI26" s="232"/>
      <c r="ZJ26" s="232"/>
      <c r="ZK26" s="232"/>
      <c r="ZL26" s="232"/>
      <c r="ZM26" s="234"/>
      <c r="ZN26" s="232"/>
      <c r="ZO26" s="232"/>
      <c r="ZP26" s="232"/>
      <c r="ZQ26" s="232"/>
      <c r="ZR26" s="232"/>
      <c r="ZS26" s="235"/>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73"/>
    </row>
    <row r="27" spans="1:1626" ht="20.100000000000001" customHeight="1" x14ac:dyDescent="0.25">
      <c r="A27" s="78" t="s">
        <v>26</v>
      </c>
      <c r="B27" s="51" t="str">
        <f>IF(LEN(C39)=0,"",C39)</f>
        <v>Backend - Rôles et accès</v>
      </c>
      <c r="C27" s="199"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5"/>
      <c r="D28" s="121" t="str">
        <f t="shared" si="0"/>
        <v/>
      </c>
      <c r="E28" s="22">
        <v>0</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225"/>
      <c r="UA28" s="226"/>
      <c r="UB28" s="226"/>
      <c r="UC28" s="226"/>
      <c r="UD28" s="226"/>
      <c r="UE28" s="227"/>
      <c r="UF28" s="226"/>
      <c r="UG28" s="226"/>
      <c r="UH28" s="226"/>
      <c r="UI28" s="226"/>
      <c r="UJ28" s="226"/>
      <c r="UK28" s="228"/>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73"/>
    </row>
    <row r="29" spans="1:1626" ht="20.100000000000001" customHeight="1" x14ac:dyDescent="0.25">
      <c r="A29" s="78" t="s">
        <v>26</v>
      </c>
      <c r="B29" s="51" t="str">
        <f>IF(LEN(C43)=0,"",C43)</f>
        <v>Backend - Système de recherche</v>
      </c>
      <c r="C29" s="199"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200"/>
      <c r="D30" s="121" t="str">
        <f t="shared" si="0"/>
        <v/>
      </c>
      <c r="E30" s="30">
        <v>0</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232"/>
      <c r="UM30" s="232"/>
      <c r="UN30" s="232"/>
      <c r="UO30" s="232"/>
      <c r="UP30" s="232"/>
      <c r="UQ30" s="235"/>
      <c r="UR30" s="232"/>
      <c r="US30" s="232"/>
      <c r="UT30" s="232"/>
      <c r="UU30" s="232"/>
      <c r="UV30" s="232"/>
      <c r="UW30" s="234"/>
      <c r="UX30" s="232"/>
      <c r="UY30" s="232"/>
      <c r="UZ30" s="232"/>
      <c r="VA30" s="232"/>
      <c r="VB30" s="232"/>
      <c r="VC30" s="235"/>
      <c r="VD30" s="232"/>
      <c r="VE30" s="232"/>
      <c r="VF30" s="232"/>
      <c r="VG30" s="232"/>
      <c r="VH30" s="232"/>
      <c r="VI30" s="234"/>
      <c r="VJ30" s="232"/>
      <c r="VK30" s="232"/>
      <c r="VL30" s="232"/>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231"/>
      <c r="WI30" s="232"/>
      <c r="WJ30" s="232"/>
      <c r="WK30" s="232"/>
      <c r="WL30" s="232"/>
      <c r="WM30" s="233"/>
      <c r="WN30" s="232"/>
      <c r="WO30" s="232"/>
      <c r="WP30" s="232"/>
      <c r="WQ30" s="232"/>
      <c r="WR30" s="232"/>
      <c r="WS30" s="234"/>
      <c r="WT30" s="232"/>
      <c r="WU30" s="232"/>
      <c r="WV30" s="232"/>
      <c r="WW30" s="232"/>
      <c r="WX30" s="232"/>
      <c r="WY30" s="235"/>
      <c r="WZ30" s="232"/>
      <c r="XA30" s="232"/>
      <c r="XB30" s="232"/>
      <c r="XC30" s="232"/>
      <c r="XD30" s="232"/>
      <c r="XE30" s="234"/>
      <c r="XF30" s="232"/>
      <c r="XG30" s="232"/>
      <c r="XH30" s="232"/>
      <c r="XI30" s="232"/>
      <c r="XJ30" s="232"/>
      <c r="XK30" s="235"/>
      <c r="XL30" s="232"/>
      <c r="XM30" s="232"/>
      <c r="XN30" s="232"/>
      <c r="XO30" s="232"/>
      <c r="XP30" s="232"/>
      <c r="XQ30" s="234"/>
      <c r="XR30" s="232"/>
      <c r="XS30" s="232"/>
      <c r="XT30" s="232"/>
      <c r="XU30" s="232"/>
      <c r="XV30" s="232"/>
      <c r="XW30" s="235"/>
      <c r="XX30" s="232"/>
      <c r="XY30" s="232"/>
      <c r="XZ30" s="232"/>
      <c r="YA30" s="232"/>
      <c r="YB30" s="232"/>
      <c r="YC30" s="234"/>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73"/>
    </row>
    <row r="31" spans="1:1626" ht="20.100000000000001" customHeight="1" x14ac:dyDescent="0.25">
      <c r="A31" s="78" t="s">
        <v>26</v>
      </c>
      <c r="B31" s="51" t="str">
        <f>IF(LEN(C47)=0,"",C47)</f>
        <v>Déploiement - Azure Static Web App (Frontend)</v>
      </c>
      <c r="C31" s="199"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200"/>
      <c r="D32" s="121" t="str">
        <f t="shared" si="0"/>
        <v/>
      </c>
      <c r="E32" s="22">
        <v>0</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226"/>
      <c r="NP32" s="226"/>
      <c r="NQ32" s="226"/>
      <c r="NR32" s="226"/>
      <c r="NS32" s="229"/>
      <c r="NT32" s="226"/>
      <c r="NU32" s="226"/>
      <c r="NV32" s="226"/>
      <c r="NW32" s="226"/>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226"/>
      <c r="WM32" s="227"/>
      <c r="WN32" s="226"/>
      <c r="WO32" s="226"/>
      <c r="WP32" s="226"/>
      <c r="WQ32" s="226"/>
      <c r="WR32" s="226"/>
      <c r="WS32" s="228"/>
      <c r="WT32" s="226"/>
      <c r="WU32" s="226"/>
      <c r="WV32" s="226"/>
      <c r="WW32" s="226"/>
      <c r="WX32" s="226"/>
      <c r="WY32" s="229"/>
      <c r="WZ32" s="226"/>
      <c r="XA32" s="226"/>
      <c r="XB32" s="226"/>
      <c r="XC32" s="226"/>
      <c r="XD32" s="226"/>
      <c r="XE32" s="228"/>
      <c r="XF32" s="226"/>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73"/>
    </row>
    <row r="33" spans="1:1626" ht="20.100000000000001" customHeight="1" x14ac:dyDescent="0.25">
      <c r="A33" s="78" t="s">
        <v>26</v>
      </c>
      <c r="B33" s="51" t="str">
        <f>IF(LEN(C51)=0,"",C51)</f>
        <v>Déploiement - Finalisation/bugfix workflow &amp; CI/CD</v>
      </c>
      <c r="C33" s="199"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200"/>
      <c r="D34" s="121" t="str">
        <f t="shared" si="0"/>
        <v/>
      </c>
      <c r="E34" s="30">
        <v>0</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232"/>
      <c r="NY34" s="234"/>
      <c r="NZ34" s="232"/>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232"/>
      <c r="ABF34" s="232"/>
      <c r="ABG34" s="232"/>
      <c r="ABH34" s="232"/>
      <c r="ABI34" s="234"/>
      <c r="ABJ34" s="232"/>
      <c r="ABK34" s="232"/>
      <c r="ABL34" s="232"/>
      <c r="ABM34" s="232"/>
      <c r="ABN34" s="232"/>
      <c r="ABO34" s="235"/>
      <c r="ABP34" s="232"/>
      <c r="ABQ34" s="232"/>
      <c r="ABR34" s="232"/>
      <c r="ABS34" s="232"/>
      <c r="ABT34" s="232"/>
      <c r="ABU34" s="234"/>
      <c r="ABV34" s="232"/>
      <c r="ABW34" s="232"/>
      <c r="ABX34" s="232"/>
      <c r="ABY34" s="232"/>
      <c r="ABZ34" s="232"/>
      <c r="ACA34" s="235"/>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73"/>
    </row>
    <row r="35" spans="1:1626" ht="20.100000000000001" customHeight="1" x14ac:dyDescent="0.25">
      <c r="A35" s="78" t="s">
        <v>26</v>
      </c>
      <c r="B35" s="51" t="str">
        <f>IF(LEN(C55)=0,"",C55)</f>
        <v>Doc - Rapport</v>
      </c>
      <c r="C35" s="199"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200"/>
      <c r="D36" s="120" t="str">
        <f t="shared" si="0"/>
        <v/>
      </c>
      <c r="E36" s="22">
        <v>0</v>
      </c>
      <c r="F36" s="225"/>
      <c r="G36" s="226"/>
      <c r="H36" s="226"/>
      <c r="I36" s="226"/>
      <c r="J36" s="226"/>
      <c r="K36" s="227"/>
      <c r="L36" s="226"/>
      <c r="M36" s="226"/>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226"/>
      <c r="FN36" s="226"/>
      <c r="FO36" s="226"/>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25"/>
      <c r="KU36" s="226"/>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226"/>
      <c r="UI36" s="226"/>
      <c r="UJ36" s="226"/>
      <c r="UK36" s="228"/>
      <c r="UL36" s="226"/>
      <c r="UM36" s="226"/>
      <c r="UN36" s="226"/>
      <c r="UO36" s="226"/>
      <c r="UP36" s="226"/>
      <c r="UQ36" s="229"/>
      <c r="UR36" s="226"/>
      <c r="US36" s="226"/>
      <c r="UT36" s="226"/>
      <c r="UU36" s="226"/>
      <c r="UV36" s="226"/>
      <c r="UW36" s="228"/>
      <c r="UX36" s="226"/>
      <c r="UY36" s="226"/>
      <c r="UZ36" s="226"/>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73"/>
    </row>
    <row r="37" spans="1:1626" ht="20.100000000000001" customHeight="1" x14ac:dyDescent="0.25">
      <c r="A37" s="78" t="s">
        <v>26</v>
      </c>
      <c r="B37" s="51" t="str">
        <f>IF(LEN(C59)=0,"",C59)</f>
        <v>Entretien avec chef de projet</v>
      </c>
      <c r="C37" s="199"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200"/>
      <c r="D38" s="121" t="str">
        <f t="shared" si="0"/>
        <v/>
      </c>
      <c r="E38" s="30">
        <v>0</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231"/>
      <c r="BO38" s="232"/>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232"/>
      <c r="FB38" s="232"/>
      <c r="FC38" s="232"/>
      <c r="FD38" s="232"/>
      <c r="FE38" s="234"/>
      <c r="FF38" s="232"/>
      <c r="FG38" s="232"/>
      <c r="FH38" s="232"/>
      <c r="FI38" s="232"/>
      <c r="FJ38" s="232"/>
      <c r="FK38" s="235"/>
      <c r="FL38" s="232"/>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232"/>
      <c r="GZ38" s="232"/>
      <c r="HA38" s="234"/>
      <c r="HB38" s="232"/>
      <c r="HC38" s="232"/>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231"/>
      <c r="IM38" s="232"/>
      <c r="IN38" s="232"/>
      <c r="IO38" s="232"/>
      <c r="IP38" s="232"/>
      <c r="IQ38" s="233"/>
      <c r="IR38" s="232"/>
      <c r="IS38" s="232"/>
      <c r="IT38" s="232"/>
      <c r="IU38" s="232"/>
      <c r="IV38" s="232"/>
      <c r="IW38" s="234"/>
      <c r="IX38" s="232"/>
      <c r="IY38" s="232"/>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232"/>
      <c r="PS38" s="232"/>
      <c r="PT38" s="232"/>
      <c r="PU38" s="234"/>
      <c r="PV38" s="232"/>
      <c r="PW38" s="232"/>
      <c r="PX38" s="232"/>
      <c r="PY38" s="232"/>
      <c r="PZ38" s="232"/>
      <c r="QA38" s="235"/>
      <c r="QB38" s="232"/>
      <c r="QC38" s="232"/>
      <c r="QD38" s="232"/>
      <c r="QE38" s="232"/>
      <c r="QF38" s="232"/>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231"/>
      <c r="WI38" s="232"/>
      <c r="WJ38" s="232"/>
      <c r="WK38" s="232"/>
      <c r="WL38" s="232"/>
      <c r="WM38" s="233"/>
      <c r="WN38" s="232"/>
      <c r="WO38" s="232"/>
      <c r="WP38" s="232"/>
      <c r="WQ38" s="232"/>
      <c r="WR38" s="232"/>
      <c r="WS38" s="234"/>
      <c r="WT38" s="232"/>
      <c r="WU38" s="232"/>
      <c r="WV38" s="232"/>
      <c r="WW38" s="232"/>
      <c r="WX38" s="232"/>
      <c r="WY38" s="235"/>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73"/>
    </row>
    <row r="39" spans="1:1626" ht="20.100000000000001" customHeight="1" x14ac:dyDescent="0.25">
      <c r="A39" s="78" t="s">
        <v>26</v>
      </c>
      <c r="B39" s="51" t="str">
        <f>IF(LEN(C63)=0,"",C63)</f>
        <v>Frontend - Bases des pages principales</v>
      </c>
      <c r="C39" s="199"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5"/>
      <c r="D40" s="120" t="str">
        <f t="shared" si="0"/>
        <v/>
      </c>
      <c r="E40" s="22">
        <v>0</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226"/>
      <c r="CO40" s="226"/>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226"/>
      <c r="ER40" s="226"/>
      <c r="ES40" s="228"/>
      <c r="ET40" s="226"/>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226"/>
      <c r="FQ40" s="228"/>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226"/>
      <c r="HE40" s="226"/>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225"/>
      <c r="IM40" s="226"/>
      <c r="IN40" s="226"/>
      <c r="IO40" s="226"/>
      <c r="IP40" s="226"/>
      <c r="IQ40" s="227"/>
      <c r="IR40" s="226"/>
      <c r="IS40" s="226"/>
      <c r="IT40" s="226"/>
      <c r="IU40" s="226"/>
      <c r="IV40" s="226"/>
      <c r="IW40" s="228"/>
      <c r="IX40" s="226"/>
      <c r="IY40" s="226"/>
      <c r="IZ40" s="226"/>
      <c r="JA40" s="226"/>
      <c r="JB40" s="226"/>
      <c r="JC40" s="229"/>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226"/>
      <c r="OB40" s="226"/>
      <c r="OC40" s="226"/>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226"/>
      <c r="QJ40" s="226"/>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226"/>
      <c r="ZU40" s="226"/>
      <c r="ZV40" s="226"/>
      <c r="ZW40" s="226"/>
      <c r="ZX40" s="226"/>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225"/>
      <c r="AAY40" s="226"/>
      <c r="AAZ40" s="226"/>
      <c r="ABA40" s="226"/>
      <c r="ABB40" s="226"/>
      <c r="ABC40" s="227"/>
      <c r="ABD40" s="226"/>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25"/>
      <c r="BHG40" s="226"/>
      <c r="BHH40" s="226"/>
      <c r="BHI40" s="226"/>
      <c r="BHJ40" s="226"/>
      <c r="BHK40" s="227"/>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73"/>
    </row>
    <row r="41" spans="1:1626" ht="20.100000000000001" customHeight="1" x14ac:dyDescent="0.25">
      <c r="A41" s="78" t="s">
        <v>26</v>
      </c>
      <c r="B41" s="51" t="str">
        <f>IF(LEN(C67)=0,"",C67)</f>
        <v>Frontend - gestion des erreurs</v>
      </c>
      <c r="C41" s="199"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200"/>
      <c r="D42" s="121" t="str">
        <f t="shared" si="0"/>
        <v/>
      </c>
      <c r="E42" s="30">
        <v>0</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231"/>
      <c r="DW42" s="232"/>
      <c r="DX42" s="232"/>
      <c r="DY42" s="232"/>
      <c r="DZ42" s="232"/>
      <c r="EA42" s="233"/>
      <c r="EB42" s="232"/>
      <c r="EC42" s="232"/>
      <c r="ED42" s="232"/>
      <c r="EE42" s="232"/>
      <c r="EF42" s="232"/>
      <c r="EG42" s="234"/>
      <c r="EH42" s="232"/>
      <c r="EI42" s="232"/>
      <c r="EJ42" s="232"/>
      <c r="EK42" s="232"/>
      <c r="EL42" s="232"/>
      <c r="EM42" s="235"/>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73"/>
    </row>
    <row r="43" spans="1:1626" ht="20.100000000000001" customHeight="1" x14ac:dyDescent="0.25">
      <c r="A43" s="78" t="s">
        <v>26</v>
      </c>
      <c r="B43" s="51" t="str">
        <f>IF(LEN(C71)=0,"",C71)</f>
        <v>Frontend - Interfaces admin / Gestion profil</v>
      </c>
      <c r="C43" s="199"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5"/>
      <c r="D44" s="121" t="str">
        <f t="shared" si="0"/>
        <v/>
      </c>
      <c r="E44" s="30">
        <v>0</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232"/>
      <c r="ACC44" s="232"/>
      <c r="ACD44" s="232"/>
      <c r="ACE44" s="232"/>
      <c r="ACF44" s="232"/>
      <c r="ACG44" s="234"/>
      <c r="ACH44" s="232"/>
      <c r="ACI44" s="232"/>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73"/>
    </row>
    <row r="45" spans="1:1626" ht="20.100000000000001" customHeight="1" x14ac:dyDescent="0.25">
      <c r="A45" s="78" t="s">
        <v>26</v>
      </c>
      <c r="B45" s="51" t="str">
        <f>IF(LEN(C75)=0,"",C75)</f>
        <v>Frontend - Login/Signup</v>
      </c>
      <c r="C45" s="199"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200"/>
      <c r="D46" s="120" t="str">
        <f t="shared" si="0"/>
        <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73"/>
    </row>
    <row r="47" spans="1:1626" ht="20.100000000000001" customHeight="1" x14ac:dyDescent="0.25">
      <c r="A47" s="78" t="s">
        <v>26</v>
      </c>
      <c r="B47" s="51" t="str">
        <f>IF(LEN(C79)=0,"",C79)</f>
        <v>Initialisation repo Github</v>
      </c>
      <c r="C47" s="199"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5"/>
      <c r="D48" s="121" t="str">
        <f t="shared" si="0"/>
        <v/>
      </c>
      <c r="E48" s="22">
        <v>0</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228"/>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226"/>
      <c r="FE48" s="228"/>
      <c r="FF48" s="226"/>
      <c r="FG48" s="226"/>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226"/>
      <c r="GQ48" s="226"/>
      <c r="GR48" s="226"/>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226"/>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226"/>
      <c r="ON48" s="226"/>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228"/>
      <c r="QH48" s="226"/>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226"/>
      <c r="SS48" s="226"/>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226"/>
      <c r="XH48" s="226"/>
      <c r="XI48" s="226"/>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73"/>
    </row>
    <row r="49" spans="1:1626" ht="20.100000000000001" customHeight="1" x14ac:dyDescent="0.25">
      <c r="A49" s="78" t="s">
        <v>26</v>
      </c>
      <c r="B49" s="51" t="str">
        <f>IF(LEN(C83)=0,"",C83)</f>
        <v>Test - Unitaire &amp; Intégration</v>
      </c>
      <c r="C49" s="199"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200"/>
      <c r="D50" s="121" t="str">
        <f t="shared" si="0"/>
        <v/>
      </c>
      <c r="E50" s="30">
        <v>0</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232"/>
      <c r="AQ50" s="232"/>
      <c r="AR50" s="232"/>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232"/>
      <c r="EV50" s="232"/>
      <c r="EW50" s="232"/>
      <c r="EX50" s="232"/>
      <c r="EY50" s="235"/>
      <c r="EZ50" s="232"/>
      <c r="FA50" s="232"/>
      <c r="FB50" s="232"/>
      <c r="FC50" s="232"/>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232"/>
      <c r="HF50" s="232"/>
      <c r="HG50" s="235"/>
      <c r="HH50" s="232"/>
      <c r="HI50" s="232"/>
      <c r="HJ50" s="232"/>
      <c r="HK50" s="232"/>
      <c r="HL50" s="232"/>
      <c r="HM50" s="234"/>
      <c r="HN50" s="232"/>
      <c r="HO50" s="232"/>
      <c r="HP50" s="232"/>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232"/>
      <c r="JE50" s="232"/>
      <c r="JF50" s="232"/>
      <c r="JG50" s="232"/>
      <c r="JH50" s="232"/>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232"/>
      <c r="OH50" s="232"/>
      <c r="OI50" s="232"/>
      <c r="OJ50" s="232"/>
      <c r="OK50" s="234"/>
      <c r="OL50" s="232"/>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232"/>
      <c r="SK50" s="232"/>
      <c r="SL50" s="232"/>
      <c r="SM50" s="232"/>
      <c r="SN50" s="232"/>
      <c r="SO50" s="234"/>
      <c r="SP50" s="232"/>
      <c r="SQ50" s="232"/>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73"/>
    </row>
    <row r="51" spans="1:1626" ht="20.100000000000001" customHeight="1" x14ac:dyDescent="0.25">
      <c r="A51" s="78" t="s">
        <v>26</v>
      </c>
      <c r="B51" s="51" t="str">
        <f>IF(LEN(C87)=0,"",C87)</f>
        <v>Visite expert 2</v>
      </c>
      <c r="C51" s="199"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200"/>
      <c r="D52" s="120" t="str">
        <f t="shared" si="0"/>
        <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73"/>
    </row>
    <row r="53" spans="1:1626" ht="20.100000000000001" customHeight="1" x14ac:dyDescent="0.25">
      <c r="A53" s="78" t="s">
        <v>26</v>
      </c>
      <c r="B53" s="51" t="str">
        <f>IF(LEN(C91)=0,"",C91)</f>
        <v/>
      </c>
      <c r="C53" s="199"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5"/>
      <c r="D54" s="121" t="str">
        <f t="shared" si="0"/>
        <v xml:space="preserve"> 50 min</v>
      </c>
      <c r="E54" s="30">
        <v>10</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168"/>
      <c r="CN54" s="168"/>
      <c r="CO54" s="168"/>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168"/>
      <c r="HD54" s="168"/>
      <c r="HE54" s="168"/>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168"/>
      <c r="ME54" s="168"/>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168"/>
      <c r="QU54" s="168"/>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232"/>
      <c r="TC54" s="232"/>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232"/>
      <c r="VB54" s="232"/>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234"/>
      <c r="ZZ54" s="232"/>
      <c r="AAA54" s="232"/>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73"/>
    </row>
    <row r="55" spans="1:1626" ht="20.100000000000001" customHeight="1" x14ac:dyDescent="0.25">
      <c r="A55" s="78" t="s">
        <v>26</v>
      </c>
      <c r="B55" s="51"/>
      <c r="C55" s="199"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200"/>
      <c r="D56" s="120" t="str">
        <f t="shared" si="0"/>
        <v>10h 25 min</v>
      </c>
      <c r="E56" s="22">
        <v>125</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164"/>
      <c r="EY56" s="167"/>
      <c r="EZ56" s="164"/>
      <c r="FA56" s="164"/>
      <c r="FB56" s="164"/>
      <c r="FC56" s="164"/>
      <c r="FD56" s="164"/>
      <c r="FE56" s="166"/>
      <c r="FF56" s="164"/>
      <c r="FG56" s="164"/>
      <c r="FH56" s="164"/>
      <c r="FI56" s="164"/>
      <c r="FJ56" s="164"/>
      <c r="FK56" s="167"/>
      <c r="FL56" s="164"/>
      <c r="FM56" s="164"/>
      <c r="FN56" s="164"/>
      <c r="FO56" s="164"/>
      <c r="FP56" s="164"/>
      <c r="FQ56" s="166"/>
      <c r="FR56" s="226"/>
      <c r="FS56" s="226"/>
      <c r="FT56" s="226"/>
      <c r="FU56" s="226"/>
      <c r="FV56" s="226"/>
      <c r="FW56" s="229"/>
      <c r="FX56" s="226"/>
      <c r="FY56" s="226"/>
      <c r="FZ56" s="226"/>
      <c r="GA56" s="226"/>
      <c r="GB56" s="226"/>
      <c r="GC56" s="230"/>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26"/>
      <c r="KI56" s="226"/>
      <c r="KJ56" s="226"/>
      <c r="KK56" s="226"/>
      <c r="KL56" s="226"/>
      <c r="KM56" s="229"/>
      <c r="KN56" s="226"/>
      <c r="KO56" s="226"/>
      <c r="KP56" s="226"/>
      <c r="KQ56" s="226"/>
      <c r="KR56" s="226"/>
      <c r="KS56" s="230"/>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226"/>
      <c r="RY56" s="226"/>
      <c r="RZ56" s="226"/>
      <c r="SA56" s="226"/>
      <c r="SB56" s="226"/>
      <c r="SC56" s="228"/>
      <c r="SD56" s="226"/>
      <c r="SE56" s="226"/>
      <c r="SF56" s="226"/>
      <c r="SG56" s="226"/>
      <c r="SH56" s="226"/>
      <c r="SI56" s="229"/>
      <c r="SJ56" s="226"/>
      <c r="SK56" s="226"/>
      <c r="SL56" s="226"/>
      <c r="SM56" s="226"/>
      <c r="SN56" s="226"/>
      <c r="SO56" s="228"/>
      <c r="SP56" s="226"/>
      <c r="SQ56" s="226"/>
      <c r="SR56" s="226"/>
      <c r="SS56" s="226"/>
      <c r="ST56" s="226"/>
      <c r="SU56" s="229"/>
      <c r="SV56" s="226"/>
      <c r="SW56" s="226"/>
      <c r="SX56" s="226"/>
      <c r="SY56" s="226"/>
      <c r="SZ56" s="226"/>
      <c r="TA56" s="228"/>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225"/>
      <c r="UA56" s="226"/>
      <c r="UB56" s="226"/>
      <c r="UC56" s="226"/>
      <c r="UD56" s="226"/>
      <c r="UE56" s="227"/>
      <c r="UF56" s="226"/>
      <c r="UG56" s="226"/>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73"/>
    </row>
    <row r="57" spans="1:1626" ht="20.100000000000001" customHeight="1" x14ac:dyDescent="0.25">
      <c r="A57" s="78" t="s">
        <v>26</v>
      </c>
      <c r="B57" s="51"/>
      <c r="C57" s="199"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200"/>
      <c r="D58" s="121" t="str">
        <f t="shared" si="0"/>
        <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73"/>
    </row>
    <row r="59" spans="1:1626" ht="20.100000000000001" customHeight="1" x14ac:dyDescent="0.25">
      <c r="A59" s="78" t="s">
        <v>26</v>
      </c>
      <c r="B59" s="51"/>
      <c r="C59" s="199"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200"/>
      <c r="D60" s="121" t="str">
        <f t="shared" si="0"/>
        <v xml:space="preserve"> 25 min</v>
      </c>
      <c r="E60" s="30">
        <v>5</v>
      </c>
      <c r="F60" s="225"/>
      <c r="G60" s="226"/>
      <c r="H60" s="226"/>
      <c r="I60" s="226"/>
      <c r="J60" s="226"/>
      <c r="K60" s="227"/>
      <c r="L60" s="226"/>
      <c r="M60" s="226"/>
      <c r="N60" s="226"/>
      <c r="O60" s="226"/>
      <c r="P60" s="226"/>
      <c r="Q60" s="228"/>
      <c r="R60" s="226"/>
      <c r="S60" s="226"/>
      <c r="T60" s="164"/>
      <c r="U60" s="164"/>
      <c r="V60" s="164"/>
      <c r="W60" s="229"/>
      <c r="X60" s="226"/>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166"/>
      <c r="CL60" s="164"/>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73"/>
    </row>
    <row r="61" spans="1:1626" ht="20.100000000000001" customHeight="1" x14ac:dyDescent="0.25">
      <c r="A61" s="78" t="s">
        <v>26</v>
      </c>
      <c r="B61" s="51"/>
      <c r="C61" s="199"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5"/>
      <c r="D62" s="120" t="str">
        <f t="shared" si="0"/>
        <v xml:space="preserve"> 45 min</v>
      </c>
      <c r="E62" s="80">
        <v>9</v>
      </c>
      <c r="F62" s="170"/>
      <c r="G62" s="168"/>
      <c r="H62" s="168"/>
      <c r="I62" s="168"/>
      <c r="J62" s="168"/>
      <c r="K62" s="171"/>
      <c r="L62" s="168"/>
      <c r="M62" s="168"/>
      <c r="N62" s="168"/>
      <c r="O62" s="232"/>
      <c r="P62" s="232"/>
      <c r="Q62" s="234"/>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73"/>
    </row>
    <row r="63" spans="1:1626" ht="20.100000000000001" customHeight="1" x14ac:dyDescent="0.25">
      <c r="A63" s="78" t="s">
        <v>26</v>
      </c>
      <c r="B63" s="51"/>
      <c r="C63" s="199"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200"/>
      <c r="D64" s="121" t="str">
        <f t="shared" si="0"/>
        <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73"/>
    </row>
    <row r="65" spans="1:1626" ht="20.100000000000001" customHeight="1" x14ac:dyDescent="0.25">
      <c r="A65" s="78" t="s">
        <v>26</v>
      </c>
      <c r="B65" s="51"/>
      <c r="C65" s="199"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200"/>
      <c r="D66" s="121" t="str">
        <f t="shared" si="0"/>
        <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73"/>
    </row>
    <row r="67" spans="1:1626" ht="20.100000000000001" customHeight="1" x14ac:dyDescent="0.25">
      <c r="A67" s="78" t="s">
        <v>26</v>
      </c>
      <c r="B67" s="51"/>
      <c r="C67" s="199"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5"/>
      <c r="D68" s="120" t="str">
        <f t="shared" si="0"/>
        <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73"/>
    </row>
    <row r="69" spans="1:1626" ht="20.100000000000001" customHeight="1" x14ac:dyDescent="0.25">
      <c r="A69" s="78" t="s">
        <v>26</v>
      </c>
      <c r="B69" s="51"/>
      <c r="C69" s="199"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5"/>
      <c r="D70" s="121" t="str">
        <f t="shared" si="0"/>
        <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73"/>
    </row>
    <row r="71" spans="1:1626" ht="20.100000000000001" customHeight="1" x14ac:dyDescent="0.25">
      <c r="A71" s="78" t="s">
        <v>26</v>
      </c>
      <c r="B71" s="51"/>
      <c r="C71" s="199"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5"/>
      <c r="D72" s="120" t="str">
        <f t="shared" si="0"/>
        <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73"/>
    </row>
    <row r="73" spans="1:1626" ht="20.100000000000001" customHeight="1" x14ac:dyDescent="0.25">
      <c r="A73" s="78" t="s">
        <v>26</v>
      </c>
      <c r="B73" s="51"/>
      <c r="C73" s="199"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200"/>
      <c r="D74" s="121" t="str">
        <f t="shared" si="0"/>
        <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73"/>
    </row>
    <row r="75" spans="1:1626" ht="20.100000000000001" customHeight="1" x14ac:dyDescent="0.25">
      <c r="A75" s="78" t="s">
        <v>26</v>
      </c>
      <c r="B75" s="51"/>
      <c r="C75" s="199"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5"/>
      <c r="D76" s="121" t="str">
        <f t="shared" si="0"/>
        <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73"/>
    </row>
    <row r="77" spans="1:1626" ht="20.100000000000001" customHeight="1" x14ac:dyDescent="0.25">
      <c r="A77" s="78" t="s">
        <v>26</v>
      </c>
      <c r="B77" s="51"/>
      <c r="C77" s="199"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200"/>
      <c r="D78" s="120" t="str">
        <f t="shared" si="0"/>
        <v/>
      </c>
      <c r="E78" s="80">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73"/>
    </row>
    <row r="79" spans="1:1626" ht="20.100000000000001" customHeight="1" x14ac:dyDescent="0.25">
      <c r="A79" s="78" t="s">
        <v>26</v>
      </c>
      <c r="B79" s="51"/>
      <c r="C79" s="199"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200"/>
      <c r="D80" s="121" t="str">
        <f t="shared" ref="D80:D94" si="1">setValueToTime(E80)</f>
        <v xml:space="preserve"> 10 min</v>
      </c>
      <c r="E80" s="22">
        <v>2</v>
      </c>
      <c r="F80" s="231"/>
      <c r="G80" s="232"/>
      <c r="H80" s="232"/>
      <c r="I80" s="232"/>
      <c r="J80" s="232"/>
      <c r="K80" s="233"/>
      <c r="L80" s="232"/>
      <c r="M80" s="232"/>
      <c r="N80" s="232"/>
      <c r="O80" s="232"/>
      <c r="P80" s="232"/>
      <c r="Q80" s="234"/>
      <c r="R80" s="232"/>
      <c r="S80" s="232"/>
      <c r="T80" s="232"/>
      <c r="U80" s="232"/>
      <c r="V80" s="232"/>
      <c r="W80" s="169"/>
      <c r="X80" s="168"/>
      <c r="Y80" s="232"/>
      <c r="Z80" s="232"/>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73"/>
    </row>
    <row r="81" spans="1:1626" ht="20.100000000000001" customHeight="1" x14ac:dyDescent="0.25">
      <c r="A81" s="78" t="s">
        <v>26</v>
      </c>
      <c r="B81" s="51"/>
      <c r="C81" s="199"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5"/>
      <c r="D82" s="121" t="str">
        <f t="shared" si="1"/>
        <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73"/>
    </row>
    <row r="83" spans="1:1626" ht="20.100000000000001" customHeight="1" x14ac:dyDescent="0.25">
      <c r="A83" s="78" t="s">
        <v>26</v>
      </c>
      <c r="B83" s="51"/>
      <c r="C83" s="199"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200"/>
      <c r="D84" s="120" t="str">
        <f t="shared" si="1"/>
        <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73"/>
    </row>
    <row r="85" spans="1:1626" ht="20.100000000000001" customHeight="1" x14ac:dyDescent="0.25">
      <c r="A85" s="78" t="s">
        <v>26</v>
      </c>
      <c r="B85" s="51"/>
      <c r="C85" s="199"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200"/>
      <c r="D86" s="121" t="str">
        <f t="shared" si="1"/>
        <v>7h 20 min</v>
      </c>
      <c r="E86" s="30">
        <v>88</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164"/>
      <c r="MA86" s="164"/>
      <c r="MB86" s="164"/>
      <c r="MC86" s="166"/>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26"/>
      <c r="OY86" s="226"/>
      <c r="OZ86" s="226"/>
      <c r="PA86" s="226"/>
      <c r="PB86" s="226"/>
      <c r="PC86" s="229"/>
      <c r="PD86" s="226"/>
      <c r="PE86" s="226"/>
      <c r="PF86" s="226"/>
      <c r="PG86" s="226"/>
      <c r="PH86" s="226"/>
      <c r="PI86" s="230"/>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225"/>
      <c r="RS86" s="226"/>
      <c r="RT86" s="226"/>
      <c r="RU86" s="226"/>
      <c r="RV86" s="226"/>
      <c r="RW86" s="227"/>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73"/>
    </row>
    <row r="87" spans="1:1626" ht="20.100000000000001" customHeight="1" x14ac:dyDescent="0.25">
      <c r="A87" s="78" t="s">
        <v>26</v>
      </c>
      <c r="B87" s="51"/>
      <c r="C87" s="199"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200"/>
      <c r="D88" s="120" t="str">
        <f t="shared" si="1"/>
        <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73"/>
    </row>
    <row r="89" spans="1:1626" ht="20.100000000000001" customHeight="1" x14ac:dyDescent="0.25">
      <c r="A89" s="78" t="s">
        <v>26</v>
      </c>
      <c r="B89" s="51"/>
      <c r="C89" s="199"/>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200"/>
      <c r="D90" s="121" t="str">
        <f t="shared" si="1"/>
        <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73"/>
    </row>
    <row r="91" spans="1:1626" ht="20.100000000000001" customHeight="1" x14ac:dyDescent="0.25">
      <c r="A91" s="78" t="s">
        <v>26</v>
      </c>
      <c r="B91" s="51"/>
      <c r="C91" s="199"/>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200"/>
      <c r="D92" s="121" t="str">
        <f t="shared" si="1"/>
        <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73"/>
    </row>
    <row r="93" spans="1:1626" ht="20.100000000000001" customHeight="1" x14ac:dyDescent="0.25">
      <c r="A93" s="78" t="s">
        <v>26</v>
      </c>
      <c r="B93" s="51"/>
      <c r="C93" s="199"/>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5"/>
      <c r="D94" s="120" t="str">
        <f t="shared" si="1"/>
        <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73"/>
    </row>
    <row r="95" spans="1:1626" ht="20.100000000000001" customHeight="1" x14ac:dyDescent="0.25">
      <c r="B95" s="51"/>
      <c r="C95" s="201" t="s">
        <v>31</v>
      </c>
      <c r="D95" s="202"/>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3"/>
      <c r="D96" s="204"/>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93" t="s">
        <v>32</v>
      </c>
      <c r="D97" s="194"/>
      <c r="E97" s="93">
        <f>SUM(E16,E18,E20,E22,E24,E26,E28,E30,E32,E34,E36,E38,E40,E42,E44,E46,E48,E50,E52,E54,E56,E58,E60,E62,E64,E66,E68,E70,E72,E74,E76,E78,E80,E82,E84,E86,E88,E90,E92,E94)</f>
        <v>314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195"/>
      <c r="D98" s="196"/>
      <c r="E98" s="97" t="str">
        <f xml:space="preserve"> setValueToTime(E97)</f>
        <v>26h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66"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3" t="s">
        <v>38</v>
      </c>
      <c r="G3" s="224"/>
      <c r="H3" s="151"/>
    </row>
    <row r="4" spans="1:8" s="43" customFormat="1" x14ac:dyDescent="0.3">
      <c r="B4" s="40" t="s">
        <v>59</v>
      </c>
      <c r="C4" s="41">
        <v>13</v>
      </c>
      <c r="D4" s="125" t="str">
        <f xml:space="preserve"> IF(C4="","",setValueToTime(C4))</f>
        <v>1h 5 min</v>
      </c>
      <c r="E4" s="42"/>
      <c r="F4" s="181"/>
      <c r="G4" s="182"/>
      <c r="H4" s="152"/>
    </row>
    <row r="5" spans="1:8" s="43" customFormat="1" ht="27" x14ac:dyDescent="0.3">
      <c r="B5" s="44" t="s">
        <v>71</v>
      </c>
      <c r="C5" s="45">
        <v>6</v>
      </c>
      <c r="D5" s="126" t="str">
        <f t="shared" ref="D5:D11" si="0" xml:space="preserve"> IF(C5="","",setValueToTime(C5))</f>
        <v xml:space="preserve"> 30 min</v>
      </c>
      <c r="E5" s="46"/>
      <c r="F5" s="173"/>
      <c r="G5" s="174"/>
      <c r="H5" s="152"/>
    </row>
    <row r="6" spans="1:8" s="43" customFormat="1" x14ac:dyDescent="0.3">
      <c r="B6" s="44"/>
      <c r="C6" s="45"/>
      <c r="D6" s="126" t="str">
        <f t="shared" si="0"/>
        <v/>
      </c>
      <c r="E6" s="46"/>
      <c r="F6" s="173"/>
      <c r="G6" s="174"/>
      <c r="H6" s="152"/>
    </row>
    <row r="7" spans="1:8" s="43" customFormat="1" x14ac:dyDescent="0.3">
      <c r="B7" s="44"/>
      <c r="C7" s="45"/>
      <c r="D7" s="126" t="str">
        <f t="shared" si="0"/>
        <v/>
      </c>
      <c r="E7" s="46"/>
      <c r="F7" s="173"/>
      <c r="G7" s="174"/>
      <c r="H7" s="152"/>
    </row>
    <row r="8" spans="1:8" s="43" customFormat="1" x14ac:dyDescent="0.3">
      <c r="B8" s="44"/>
      <c r="C8" s="45"/>
      <c r="D8" s="127" t="str">
        <f t="shared" si="0"/>
        <v/>
      </c>
      <c r="E8" s="46"/>
      <c r="F8" s="173"/>
      <c r="G8" s="174"/>
      <c r="H8" s="152"/>
    </row>
    <row r="9" spans="1:8" s="43" customFormat="1" x14ac:dyDescent="0.3">
      <c r="B9" s="44"/>
      <c r="C9" s="45"/>
      <c r="D9" s="127" t="str">
        <f t="shared" si="0"/>
        <v/>
      </c>
      <c r="E9" s="46"/>
      <c r="F9" s="173"/>
      <c r="G9" s="174"/>
      <c r="H9" s="152"/>
    </row>
    <row r="10" spans="1:8" s="43" customFormat="1" x14ac:dyDescent="0.3">
      <c r="B10" s="44"/>
      <c r="C10" s="45"/>
      <c r="D10" s="127" t="str">
        <f t="shared" si="0"/>
        <v/>
      </c>
      <c r="E10" s="46"/>
      <c r="F10" s="173"/>
      <c r="G10" s="174"/>
      <c r="H10" s="152"/>
    </row>
    <row r="11" spans="1:8" s="43" customFormat="1" ht="15" thickBot="1" x14ac:dyDescent="0.35">
      <c r="B11" s="44"/>
      <c r="C11" s="47"/>
      <c r="D11" s="128" t="str">
        <f t="shared" si="0"/>
        <v/>
      </c>
      <c r="E11" s="48"/>
      <c r="F11" s="175"/>
      <c r="G11" s="176"/>
      <c r="H11" s="152"/>
    </row>
    <row r="12" spans="1:8" s="43" customFormat="1" ht="15" thickBot="1" x14ac:dyDescent="0.35">
      <c r="B12" s="86" t="s">
        <v>40</v>
      </c>
      <c r="C12" s="67">
        <f>SUM(C4:C11)</f>
        <v>19</v>
      </c>
      <c r="D12" s="86" t="str">
        <f xml:space="preserve"> setValueToTime(C12)</f>
        <v>1h 35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3" t="s">
        <v>38</v>
      </c>
      <c r="G15" s="224"/>
      <c r="H15" s="151"/>
    </row>
    <row r="16" spans="1:8" s="43" customFormat="1" x14ac:dyDescent="0.3">
      <c r="B16" s="40" t="s">
        <v>30</v>
      </c>
      <c r="C16" s="41">
        <v>25</v>
      </c>
      <c r="D16" s="125" t="str">
        <f xml:space="preserve"> IF(C16="","",setValueToTime(C16))</f>
        <v>2h 5 min</v>
      </c>
      <c r="E16" s="42"/>
      <c r="F16" s="181"/>
      <c r="G16" s="182"/>
      <c r="H16" s="152"/>
    </row>
    <row r="17" spans="2:8" s="43" customFormat="1" x14ac:dyDescent="0.3">
      <c r="B17" s="44" t="s">
        <v>59</v>
      </c>
      <c r="C17" s="45">
        <v>9</v>
      </c>
      <c r="D17" s="126" t="str">
        <f t="shared" ref="D17:D23" si="1" xml:space="preserve"> IF(C17="","",setValueToTime(C17))</f>
        <v xml:space="preserve"> 45 min</v>
      </c>
      <c r="E17" s="46"/>
      <c r="F17" s="173"/>
      <c r="G17" s="174"/>
      <c r="H17" s="152"/>
    </row>
    <row r="18" spans="2:8" s="43" customFormat="1" x14ac:dyDescent="0.3">
      <c r="B18" s="44" t="s">
        <v>29</v>
      </c>
      <c r="C18" s="45">
        <v>4</v>
      </c>
      <c r="D18" s="126" t="str">
        <f t="shared" ref="D18" si="2" xml:space="preserve"> IF(C18="","",setValueToTime(C18))</f>
        <v xml:space="preserve"> 20 min</v>
      </c>
      <c r="E18" s="46"/>
      <c r="F18" s="173"/>
      <c r="G18" s="174"/>
      <c r="H18" s="152"/>
    </row>
    <row r="19" spans="2:8" s="43" customFormat="1" x14ac:dyDescent="0.3">
      <c r="B19" s="44"/>
      <c r="C19" s="45"/>
      <c r="D19" s="126" t="str">
        <f t="shared" si="1"/>
        <v/>
      </c>
      <c r="E19" s="46"/>
      <c r="F19" s="173"/>
      <c r="G19" s="174"/>
      <c r="H19" s="152"/>
    </row>
    <row r="20" spans="2:8" s="43" customFormat="1" x14ac:dyDescent="0.3">
      <c r="B20" s="44"/>
      <c r="C20" s="45"/>
      <c r="D20" s="127" t="str">
        <f t="shared" si="1"/>
        <v/>
      </c>
      <c r="E20" s="46"/>
      <c r="F20" s="173"/>
      <c r="G20" s="174"/>
      <c r="H20" s="152"/>
    </row>
    <row r="21" spans="2:8" s="43" customFormat="1" x14ac:dyDescent="0.3">
      <c r="B21" s="44"/>
      <c r="C21" s="45"/>
      <c r="D21" s="127" t="str">
        <f t="shared" si="1"/>
        <v/>
      </c>
      <c r="E21" s="46"/>
      <c r="F21" s="173"/>
      <c r="G21" s="174"/>
      <c r="H21" s="152"/>
    </row>
    <row r="22" spans="2:8" s="43" customFormat="1" x14ac:dyDescent="0.3">
      <c r="B22" s="44"/>
      <c r="C22" s="45"/>
      <c r="D22" s="127" t="str">
        <f t="shared" si="1"/>
        <v/>
      </c>
      <c r="E22" s="46"/>
      <c r="F22" s="173"/>
      <c r="G22" s="174"/>
      <c r="H22" s="152"/>
    </row>
    <row r="23" spans="2:8" s="43" customFormat="1" ht="15" thickBot="1" x14ac:dyDescent="0.35">
      <c r="B23" s="44"/>
      <c r="C23" s="47"/>
      <c r="D23" s="128" t="str">
        <f t="shared" si="1"/>
        <v/>
      </c>
      <c r="E23" s="48"/>
      <c r="F23" s="175"/>
      <c r="G23" s="176"/>
      <c r="H23" s="152"/>
    </row>
    <row r="24" spans="2:8" s="43" customFormat="1" ht="15" thickBot="1" x14ac:dyDescent="0.35">
      <c r="B24" s="86" t="s">
        <v>40</v>
      </c>
      <c r="C24" s="67">
        <f>SUM(C16:C23)</f>
        <v>38</v>
      </c>
      <c r="D24" s="86" t="str">
        <f xml:space="preserve"> setValueToTime(C24)</f>
        <v>3h 10 min</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3" t="s">
        <v>38</v>
      </c>
      <c r="G27" s="224"/>
      <c r="H27" s="151"/>
    </row>
    <row r="28" spans="2:8" s="43" customFormat="1" x14ac:dyDescent="0.3">
      <c r="B28" s="40" t="s">
        <v>30</v>
      </c>
      <c r="C28" s="41">
        <v>48</v>
      </c>
      <c r="D28" s="125" t="str">
        <f xml:space="preserve"> IF(C28="","",setValueToTime(C28))</f>
        <v>4h</v>
      </c>
      <c r="E28" s="42"/>
      <c r="F28" s="181"/>
      <c r="G28" s="182"/>
      <c r="H28" s="152"/>
    </row>
    <row r="29" spans="2:8" s="43" customFormat="1" x14ac:dyDescent="0.3">
      <c r="B29" s="44"/>
      <c r="C29" s="45"/>
      <c r="D29" s="126" t="str">
        <f t="shared" ref="D29:D35" si="3" xml:space="preserve"> IF(C29="","",setValueToTime(C29))</f>
        <v/>
      </c>
      <c r="E29" s="46"/>
      <c r="F29" s="173"/>
      <c r="G29" s="174"/>
      <c r="H29" s="152"/>
    </row>
    <row r="30" spans="2:8" s="43" customFormat="1" x14ac:dyDescent="0.3">
      <c r="B30" s="44"/>
      <c r="C30" s="45"/>
      <c r="D30" s="126" t="str">
        <f t="shared" si="3"/>
        <v/>
      </c>
      <c r="E30" s="46"/>
      <c r="F30" s="173"/>
      <c r="G30" s="174"/>
      <c r="H30" s="152"/>
    </row>
    <row r="31" spans="2:8" s="43" customFormat="1" x14ac:dyDescent="0.3">
      <c r="B31" s="44"/>
      <c r="C31" s="45"/>
      <c r="D31" s="126" t="str">
        <f t="shared" si="3"/>
        <v/>
      </c>
      <c r="E31" s="46"/>
      <c r="F31" s="173"/>
      <c r="G31" s="174"/>
      <c r="H31" s="152"/>
    </row>
    <row r="32" spans="2:8" s="43" customFormat="1" x14ac:dyDescent="0.3">
      <c r="B32" s="44"/>
      <c r="C32" s="45"/>
      <c r="D32" s="127" t="str">
        <f t="shared" si="3"/>
        <v/>
      </c>
      <c r="E32" s="46"/>
      <c r="F32" s="173"/>
      <c r="G32" s="174"/>
      <c r="H32" s="152"/>
    </row>
    <row r="33" spans="2:8" s="43" customFormat="1" x14ac:dyDescent="0.3">
      <c r="B33" s="44"/>
      <c r="C33" s="45"/>
      <c r="D33" s="127" t="str">
        <f t="shared" si="3"/>
        <v/>
      </c>
      <c r="E33" s="46"/>
      <c r="F33" s="173"/>
      <c r="G33" s="174"/>
      <c r="H33" s="152"/>
    </row>
    <row r="34" spans="2:8" s="43" customFormat="1" x14ac:dyDescent="0.3">
      <c r="B34" s="44"/>
      <c r="C34" s="45"/>
      <c r="D34" s="127" t="str">
        <f t="shared" si="3"/>
        <v/>
      </c>
      <c r="E34" s="46"/>
      <c r="F34" s="173"/>
      <c r="G34" s="174"/>
      <c r="H34" s="152"/>
    </row>
    <row r="35" spans="2:8" s="43" customFormat="1" ht="15" thickBot="1" x14ac:dyDescent="0.35">
      <c r="B35" s="44"/>
      <c r="C35" s="47"/>
      <c r="D35" s="128" t="str">
        <f t="shared" si="3"/>
        <v/>
      </c>
      <c r="E35" s="48"/>
      <c r="F35" s="175"/>
      <c r="G35" s="176"/>
      <c r="H35" s="152"/>
    </row>
    <row r="36" spans="2:8" s="43" customFormat="1" ht="15" thickBot="1" x14ac:dyDescent="0.35">
      <c r="B36" s="86" t="s">
        <v>40</v>
      </c>
      <c r="C36" s="67">
        <f>SUM(C28:C35)</f>
        <v>48</v>
      </c>
      <c r="D36" s="86" t="str">
        <f xml:space="preserve"> setValueToTime(C36)</f>
        <v>4h</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3" t="s">
        <v>38</v>
      </c>
      <c r="G39" s="224"/>
      <c r="H39" s="151"/>
    </row>
    <row r="40" spans="2:8" s="43" customFormat="1" ht="27" x14ac:dyDescent="0.3">
      <c r="B40" s="40" t="s">
        <v>63</v>
      </c>
      <c r="C40" s="41">
        <v>31</v>
      </c>
      <c r="D40" s="125" t="str">
        <f xml:space="preserve"> IF(C40="","",setValueToTime(C40))</f>
        <v>2h 35 min</v>
      </c>
      <c r="E40" s="42"/>
      <c r="F40" s="181"/>
      <c r="G40" s="182"/>
      <c r="H40" s="152"/>
    </row>
    <row r="41" spans="2:8" s="43" customFormat="1" x14ac:dyDescent="0.3">
      <c r="B41" s="44" t="s">
        <v>30</v>
      </c>
      <c r="C41" s="45">
        <v>4</v>
      </c>
      <c r="D41" s="126" t="str">
        <f t="shared" ref="D41:D47" si="4" xml:space="preserve"> IF(C41="","",setValueToTime(C41))</f>
        <v xml:space="preserve"> 20 min</v>
      </c>
      <c r="E41" s="46"/>
      <c r="F41" s="173"/>
      <c r="G41" s="174"/>
      <c r="H41" s="152"/>
    </row>
    <row r="42" spans="2:8" s="43" customFormat="1" x14ac:dyDescent="0.3">
      <c r="B42" s="44" t="s">
        <v>29</v>
      </c>
      <c r="C42" s="45">
        <v>3</v>
      </c>
      <c r="D42" s="126" t="str">
        <f t="shared" si="4"/>
        <v xml:space="preserve"> 15 min</v>
      </c>
      <c r="E42" s="46"/>
      <c r="F42" s="173"/>
      <c r="G42" s="174"/>
      <c r="H42" s="152"/>
    </row>
    <row r="43" spans="2:8" s="43" customFormat="1" x14ac:dyDescent="0.3">
      <c r="B43" s="44"/>
      <c r="C43" s="45"/>
      <c r="D43" s="126" t="str">
        <f t="shared" si="4"/>
        <v/>
      </c>
      <c r="E43" s="46"/>
      <c r="F43" s="173"/>
      <c r="G43" s="174"/>
      <c r="H43" s="152"/>
    </row>
    <row r="44" spans="2:8" s="43" customFormat="1" x14ac:dyDescent="0.3">
      <c r="B44" s="44"/>
      <c r="C44" s="45"/>
      <c r="D44" s="127" t="str">
        <f t="shared" si="4"/>
        <v/>
      </c>
      <c r="E44" s="46"/>
      <c r="F44" s="173"/>
      <c r="G44" s="174"/>
      <c r="H44" s="152"/>
    </row>
    <row r="45" spans="2:8" s="43" customFormat="1" x14ac:dyDescent="0.3">
      <c r="B45" s="44"/>
      <c r="C45" s="45"/>
      <c r="D45" s="127" t="str">
        <f t="shared" si="4"/>
        <v/>
      </c>
      <c r="E45" s="46"/>
      <c r="F45" s="173"/>
      <c r="G45" s="174"/>
      <c r="H45" s="152"/>
    </row>
    <row r="46" spans="2:8" s="43" customFormat="1" x14ac:dyDescent="0.3">
      <c r="B46" s="44"/>
      <c r="C46" s="45"/>
      <c r="D46" s="127" t="str">
        <f t="shared" si="4"/>
        <v/>
      </c>
      <c r="E46" s="46"/>
      <c r="F46" s="173"/>
      <c r="G46" s="174"/>
      <c r="H46" s="152"/>
    </row>
    <row r="47" spans="2:8" s="43" customFormat="1" ht="15" thickBot="1" x14ac:dyDescent="0.35">
      <c r="B47" s="44"/>
      <c r="C47" s="47"/>
      <c r="D47" s="128" t="str">
        <f t="shared" si="4"/>
        <v/>
      </c>
      <c r="E47" s="48"/>
      <c r="F47" s="175"/>
      <c r="G47" s="176"/>
      <c r="H47" s="152"/>
    </row>
    <row r="48" spans="2:8" s="43" customFormat="1" ht="15" thickBot="1" x14ac:dyDescent="0.35">
      <c r="B48" s="86" t="s">
        <v>40</v>
      </c>
      <c r="C48" s="67">
        <f>SUM(C40:C47)</f>
        <v>38</v>
      </c>
      <c r="D48" s="86" t="str">
        <f xml:space="preserve"> setValueToTime(C48)</f>
        <v>3h 10 min</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3" t="s">
        <v>38</v>
      </c>
      <c r="G51" s="224"/>
      <c r="H51" s="151"/>
    </row>
    <row r="52" spans="2:8" s="43" customFormat="1" ht="27" x14ac:dyDescent="0.3">
      <c r="B52" s="40" t="s">
        <v>46</v>
      </c>
      <c r="C52" s="41">
        <v>18</v>
      </c>
      <c r="D52" s="125" t="str">
        <f xml:space="preserve"> IF(C52="","",setValueToTime(C52))</f>
        <v>1h 30 min</v>
      </c>
      <c r="E52" s="42"/>
      <c r="F52" s="181"/>
      <c r="G52" s="182"/>
      <c r="H52" s="152"/>
    </row>
    <row r="53" spans="2:8" s="43" customFormat="1" ht="27" x14ac:dyDescent="0.3">
      <c r="B53" s="44" t="s">
        <v>63</v>
      </c>
      <c r="C53" s="45">
        <v>30</v>
      </c>
      <c r="D53" s="126" t="str">
        <f xml:space="preserve"> IF(C53="","",setValueToTime(C53))</f>
        <v>2h 30 min</v>
      </c>
      <c r="E53" s="46"/>
      <c r="F53" s="173"/>
      <c r="G53" s="174"/>
      <c r="H53" s="152"/>
    </row>
    <row r="54" spans="2:8" s="43" customFormat="1" x14ac:dyDescent="0.3">
      <c r="B54" s="44"/>
      <c r="C54" s="45"/>
      <c r="D54" s="126" t="str">
        <f t="shared" ref="D54:D59" si="5" xml:space="preserve"> IF(C54="","",setValueToTime(C54))</f>
        <v/>
      </c>
      <c r="E54" s="46"/>
      <c r="F54" s="173"/>
      <c r="G54" s="174"/>
      <c r="H54" s="152"/>
    </row>
    <row r="55" spans="2:8" s="43" customFormat="1" x14ac:dyDescent="0.3">
      <c r="B55" s="44"/>
      <c r="C55" s="45"/>
      <c r="D55" s="126" t="str">
        <f t="shared" si="5"/>
        <v/>
      </c>
      <c r="E55" s="46"/>
      <c r="F55" s="173"/>
      <c r="G55" s="174"/>
      <c r="H55" s="152"/>
    </row>
    <row r="56" spans="2:8" s="43" customFormat="1" x14ac:dyDescent="0.3">
      <c r="B56" s="44"/>
      <c r="C56" s="45"/>
      <c r="D56" s="127" t="str">
        <f t="shared" si="5"/>
        <v/>
      </c>
      <c r="E56" s="46"/>
      <c r="F56" s="173"/>
      <c r="G56" s="174"/>
      <c r="H56" s="152"/>
    </row>
    <row r="57" spans="2:8" s="43" customFormat="1" x14ac:dyDescent="0.3">
      <c r="B57" s="44"/>
      <c r="C57" s="45"/>
      <c r="D57" s="127" t="str">
        <f t="shared" si="5"/>
        <v/>
      </c>
      <c r="E57" s="46"/>
      <c r="F57" s="173"/>
      <c r="G57" s="174"/>
      <c r="H57" s="152"/>
    </row>
    <row r="58" spans="2:8" s="43" customFormat="1" x14ac:dyDescent="0.3">
      <c r="B58" s="44"/>
      <c r="C58" s="45"/>
      <c r="D58" s="127" t="str">
        <f t="shared" si="5"/>
        <v/>
      </c>
      <c r="E58" s="46"/>
      <c r="F58" s="173"/>
      <c r="G58" s="174"/>
      <c r="H58" s="152"/>
    </row>
    <row r="59" spans="2:8" s="43" customFormat="1" ht="15" thickBot="1" x14ac:dyDescent="0.35">
      <c r="B59" s="44"/>
      <c r="C59" s="47"/>
      <c r="D59" s="128" t="str">
        <f t="shared" si="5"/>
        <v/>
      </c>
      <c r="E59" s="48"/>
      <c r="F59" s="175"/>
      <c r="G59" s="176"/>
      <c r="H59" s="152"/>
    </row>
    <row r="60" spans="2:8" s="43" customFormat="1" ht="15" thickBot="1" x14ac:dyDescent="0.35">
      <c r="B60" s="86" t="s">
        <v>40</v>
      </c>
      <c r="C60" s="67">
        <f>SUM(C52:C59)</f>
        <v>48</v>
      </c>
      <c r="D60" s="86" t="str">
        <f xml:space="preserve"> setValueToTime(C60)</f>
        <v>4h</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3" t="s">
        <v>38</v>
      </c>
      <c r="G63" s="224"/>
      <c r="H63" s="151"/>
    </row>
    <row r="64" spans="2:8" s="43" customFormat="1" ht="27" x14ac:dyDescent="0.3">
      <c r="B64" s="40" t="s">
        <v>46</v>
      </c>
      <c r="C64" s="41">
        <v>34</v>
      </c>
      <c r="D64" s="125" t="str">
        <f xml:space="preserve"> IF(C64="","",setValueToTime(C64))</f>
        <v>2h 50 min</v>
      </c>
      <c r="E64" s="42"/>
      <c r="F64" s="181"/>
      <c r="G64" s="182"/>
      <c r="H64" s="152"/>
    </row>
    <row r="65" spans="2:8" s="43" customFormat="1" x14ac:dyDescent="0.3">
      <c r="B65" s="44" t="s">
        <v>29</v>
      </c>
      <c r="C65" s="45">
        <v>4</v>
      </c>
      <c r="D65" s="126" t="str">
        <f t="shared" ref="D65:D71" si="6" xml:space="preserve"> IF(C65="","",setValueToTime(C65))</f>
        <v xml:space="preserve"> 20 min</v>
      </c>
      <c r="E65" s="46"/>
      <c r="F65" s="173"/>
      <c r="G65" s="174"/>
      <c r="H65" s="152"/>
    </row>
    <row r="66" spans="2:8" s="43" customFormat="1" x14ac:dyDescent="0.3">
      <c r="B66" s="44"/>
      <c r="C66" s="45"/>
      <c r="D66" s="126" t="str">
        <f t="shared" si="6"/>
        <v/>
      </c>
      <c r="E66" s="46"/>
      <c r="F66" s="173"/>
      <c r="G66" s="174"/>
      <c r="H66" s="152"/>
    </row>
    <row r="67" spans="2:8" s="43" customFormat="1" x14ac:dyDescent="0.3">
      <c r="B67" s="44"/>
      <c r="C67" s="45"/>
      <c r="D67" s="126" t="str">
        <f t="shared" si="6"/>
        <v/>
      </c>
      <c r="E67" s="46"/>
      <c r="F67" s="173"/>
      <c r="G67" s="174"/>
      <c r="H67" s="152"/>
    </row>
    <row r="68" spans="2:8" s="43" customFormat="1" x14ac:dyDescent="0.3">
      <c r="B68" s="44"/>
      <c r="C68" s="45"/>
      <c r="D68" s="127" t="str">
        <f t="shared" si="6"/>
        <v/>
      </c>
      <c r="E68" s="46"/>
      <c r="F68" s="173"/>
      <c r="G68" s="174"/>
      <c r="H68" s="152"/>
    </row>
    <row r="69" spans="2:8" s="43" customFormat="1" x14ac:dyDescent="0.3">
      <c r="B69" s="44"/>
      <c r="C69" s="45"/>
      <c r="D69" s="127" t="str">
        <f t="shared" si="6"/>
        <v/>
      </c>
      <c r="E69" s="46"/>
      <c r="F69" s="173"/>
      <c r="G69" s="174"/>
      <c r="H69" s="152"/>
    </row>
    <row r="70" spans="2:8" s="43" customFormat="1" x14ac:dyDescent="0.3">
      <c r="B70" s="44"/>
      <c r="C70" s="45"/>
      <c r="D70" s="127" t="str">
        <f t="shared" si="6"/>
        <v/>
      </c>
      <c r="E70" s="46"/>
      <c r="F70" s="173"/>
      <c r="G70" s="174"/>
      <c r="H70" s="152"/>
    </row>
    <row r="71" spans="2:8" s="43" customFormat="1" ht="15" thickBot="1" x14ac:dyDescent="0.35">
      <c r="B71" s="44"/>
      <c r="C71" s="47"/>
      <c r="D71" s="128" t="str">
        <f t="shared" si="6"/>
        <v/>
      </c>
      <c r="E71" s="48"/>
      <c r="F71" s="175"/>
      <c r="G71" s="176"/>
      <c r="H71" s="152"/>
    </row>
    <row r="72" spans="2:8" s="43" customFormat="1" ht="15" thickBot="1" x14ac:dyDescent="0.35">
      <c r="B72" s="86" t="s">
        <v>40</v>
      </c>
      <c r="C72" s="67">
        <f>SUM(C64:C71)</f>
        <v>38</v>
      </c>
      <c r="D72" s="86" t="str">
        <f xml:space="preserve"> setValueToTime(C72)</f>
        <v>3h 10 min</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3" t="s">
        <v>38</v>
      </c>
      <c r="G75" s="224"/>
      <c r="H75" s="151"/>
    </row>
    <row r="76" spans="2:8" s="43" customFormat="1" ht="40.5" x14ac:dyDescent="0.3">
      <c r="B76" s="40" t="s">
        <v>58</v>
      </c>
      <c r="C76" s="41">
        <v>18</v>
      </c>
      <c r="D76" s="125" t="str">
        <f xml:space="preserve"> IF(C76="","",setValueToTime(C76))</f>
        <v>1h 30 min</v>
      </c>
      <c r="E76" s="42"/>
      <c r="F76" s="181"/>
      <c r="G76" s="182"/>
      <c r="H76" s="152"/>
    </row>
    <row r="77" spans="2:8" s="43" customFormat="1" ht="27" x14ac:dyDescent="0.3">
      <c r="B77" s="44" t="s">
        <v>74</v>
      </c>
      <c r="C77" s="45">
        <v>9</v>
      </c>
      <c r="D77" s="126" t="str">
        <f t="shared" ref="D77:D83" si="7" xml:space="preserve"> IF(C77="","",setValueToTime(C77))</f>
        <v xml:space="preserve"> 45 min</v>
      </c>
      <c r="E77" s="46" t="s">
        <v>78</v>
      </c>
      <c r="F77" s="173"/>
      <c r="G77" s="174"/>
      <c r="H77" s="152"/>
    </row>
    <row r="78" spans="2:8" s="43" customFormat="1" x14ac:dyDescent="0.3">
      <c r="B78" s="44" t="s">
        <v>60</v>
      </c>
      <c r="C78" s="45">
        <v>6</v>
      </c>
      <c r="D78" s="126" t="str">
        <f t="shared" si="7"/>
        <v xml:space="preserve"> 30 min</v>
      </c>
      <c r="E78" s="46"/>
      <c r="F78" s="173"/>
      <c r="G78" s="174"/>
      <c r="H78" s="152"/>
    </row>
    <row r="79" spans="2:8" s="43" customFormat="1" x14ac:dyDescent="0.3">
      <c r="B79" s="44" t="s">
        <v>30</v>
      </c>
      <c r="C79" s="45">
        <v>15</v>
      </c>
      <c r="D79" s="126" t="str">
        <f t="shared" si="7"/>
        <v>1h 15 min</v>
      </c>
      <c r="E79" s="46"/>
      <c r="F79" s="173"/>
      <c r="G79" s="174"/>
      <c r="H79" s="152"/>
    </row>
    <row r="80" spans="2:8" s="43" customFormat="1" x14ac:dyDescent="0.3">
      <c r="B80" s="44"/>
      <c r="C80" s="45"/>
      <c r="D80" s="127" t="str">
        <f t="shared" si="7"/>
        <v/>
      </c>
      <c r="E80" s="46"/>
      <c r="F80" s="173"/>
      <c r="G80" s="174"/>
      <c r="H80" s="152"/>
    </row>
    <row r="81" spans="2:8" s="43" customFormat="1" x14ac:dyDescent="0.3">
      <c r="B81" s="44"/>
      <c r="C81" s="45"/>
      <c r="D81" s="127" t="str">
        <f t="shared" si="7"/>
        <v/>
      </c>
      <c r="E81" s="46"/>
      <c r="F81" s="173"/>
      <c r="G81" s="174"/>
      <c r="H81" s="152"/>
    </row>
    <row r="82" spans="2:8" s="43" customFormat="1" x14ac:dyDescent="0.3">
      <c r="B82" s="44"/>
      <c r="C82" s="45"/>
      <c r="D82" s="127" t="str">
        <f t="shared" si="7"/>
        <v/>
      </c>
      <c r="E82" s="46"/>
      <c r="F82" s="173"/>
      <c r="G82" s="174"/>
      <c r="H82" s="152"/>
    </row>
    <row r="83" spans="2:8" s="43" customFormat="1" ht="15" thickBot="1" x14ac:dyDescent="0.35">
      <c r="B83" s="44"/>
      <c r="C83" s="47"/>
      <c r="D83" s="128" t="str">
        <f t="shared" si="7"/>
        <v/>
      </c>
      <c r="E83" s="48"/>
      <c r="F83" s="175"/>
      <c r="G83" s="176"/>
      <c r="H83" s="152"/>
    </row>
    <row r="84" spans="2:8" s="43" customFormat="1" ht="15" thickBot="1" x14ac:dyDescent="0.35">
      <c r="B84" s="86" t="s">
        <v>40</v>
      </c>
      <c r="C84" s="67">
        <f>SUM(C76:C83)</f>
        <v>48</v>
      </c>
      <c r="D84" s="86" t="str">
        <f xml:space="preserve"> setValueToTime(C84)</f>
        <v>4h</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3" t="s">
        <v>38</v>
      </c>
      <c r="G87" s="224"/>
      <c r="H87" s="151"/>
    </row>
    <row r="88" spans="2:8" s="43" customFormat="1" ht="27" x14ac:dyDescent="0.3">
      <c r="B88" s="40" t="s">
        <v>56</v>
      </c>
      <c r="C88" s="41">
        <v>4</v>
      </c>
      <c r="D88" s="125" t="str">
        <f xml:space="preserve"> IF(C88="","",setValueToTime(C88))</f>
        <v xml:space="preserve"> 20 min</v>
      </c>
      <c r="E88" s="42"/>
      <c r="F88" s="181"/>
      <c r="G88" s="182"/>
      <c r="H88" s="152"/>
    </row>
    <row r="89" spans="2:8" s="43" customFormat="1" x14ac:dyDescent="0.3">
      <c r="B89" s="44" t="s">
        <v>55</v>
      </c>
      <c r="C89" s="45">
        <v>16</v>
      </c>
      <c r="D89" s="126" t="str">
        <f t="shared" ref="D89:D95" si="8" xml:space="preserve"> IF(C89="","",setValueToTime(C89))</f>
        <v>1h 20 min</v>
      </c>
      <c r="E89" s="46"/>
      <c r="F89" s="173"/>
      <c r="G89" s="174"/>
      <c r="H89" s="152"/>
    </row>
    <row r="90" spans="2:8" s="43" customFormat="1" ht="40.5" x14ac:dyDescent="0.3">
      <c r="B90" s="44" t="s">
        <v>58</v>
      </c>
      <c r="C90" s="45">
        <v>14</v>
      </c>
      <c r="D90" s="126" t="str">
        <f t="shared" si="8"/>
        <v>1h 10 min</v>
      </c>
      <c r="E90" s="46"/>
      <c r="F90" s="173"/>
      <c r="G90" s="174"/>
      <c r="H90" s="152"/>
    </row>
    <row r="91" spans="2:8" s="43" customFormat="1" x14ac:dyDescent="0.3">
      <c r="B91" s="44" t="s">
        <v>29</v>
      </c>
      <c r="C91" s="45">
        <v>4</v>
      </c>
      <c r="D91" s="126" t="str">
        <f t="shared" si="8"/>
        <v xml:space="preserve"> 20 min</v>
      </c>
      <c r="E91" s="46"/>
      <c r="F91" s="173"/>
      <c r="G91" s="174"/>
      <c r="H91" s="152"/>
    </row>
    <row r="92" spans="2:8" s="43" customFormat="1" x14ac:dyDescent="0.3">
      <c r="B92" s="44"/>
      <c r="C92" s="45"/>
      <c r="D92" s="127" t="str">
        <f t="shared" si="8"/>
        <v/>
      </c>
      <c r="E92" s="46"/>
      <c r="F92" s="173"/>
      <c r="G92" s="174"/>
      <c r="H92" s="152"/>
    </row>
    <row r="93" spans="2:8" s="43" customFormat="1" x14ac:dyDescent="0.3">
      <c r="B93" s="44"/>
      <c r="C93" s="45"/>
      <c r="D93" s="127" t="str">
        <f t="shared" si="8"/>
        <v/>
      </c>
      <c r="E93" s="46"/>
      <c r="F93" s="173"/>
      <c r="G93" s="174"/>
      <c r="H93" s="152"/>
    </row>
    <row r="94" spans="2:8" s="43" customFormat="1" x14ac:dyDescent="0.3">
      <c r="B94" s="44"/>
      <c r="C94" s="45"/>
      <c r="D94" s="127" t="str">
        <f t="shared" si="8"/>
        <v/>
      </c>
      <c r="E94" s="46"/>
      <c r="F94" s="173"/>
      <c r="G94" s="174"/>
      <c r="H94" s="152"/>
    </row>
    <row r="95" spans="2:8" s="43" customFormat="1" ht="15" thickBot="1" x14ac:dyDescent="0.35">
      <c r="B95" s="44"/>
      <c r="C95" s="47"/>
      <c r="D95" s="128" t="str">
        <f t="shared" si="8"/>
        <v/>
      </c>
      <c r="E95" s="48"/>
      <c r="F95" s="175"/>
      <c r="G95" s="176"/>
      <c r="H95" s="152"/>
    </row>
    <row r="96" spans="2:8" s="43" customFormat="1" ht="15" thickBot="1" x14ac:dyDescent="0.35">
      <c r="B96" s="86" t="s">
        <v>40</v>
      </c>
      <c r="C96" s="67">
        <f>SUM(C88:C95)</f>
        <v>38</v>
      </c>
      <c r="D96" s="86" t="str">
        <f xml:space="preserve"> setValueToTime(C96)</f>
        <v>3h 10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3" t="s">
        <v>38</v>
      </c>
      <c r="G99" s="224"/>
      <c r="H99" s="151"/>
    </row>
    <row r="100" spans="2:8" s="43" customFormat="1" x14ac:dyDescent="0.3">
      <c r="B100" s="40" t="s">
        <v>30</v>
      </c>
      <c r="C100" s="41">
        <v>25</v>
      </c>
      <c r="D100" s="125" t="str">
        <f xml:space="preserve"> IF(C100="","",setValueToTime(C100))</f>
        <v>2h 5 min</v>
      </c>
      <c r="E100" s="42"/>
      <c r="F100" s="181"/>
      <c r="G100" s="182"/>
      <c r="H100" s="152"/>
    </row>
    <row r="101" spans="2:8" s="43" customFormat="1" ht="27" x14ac:dyDescent="0.3">
      <c r="B101" s="44" t="s">
        <v>57</v>
      </c>
      <c r="C101" s="45">
        <v>15</v>
      </c>
      <c r="D101" s="126" t="str">
        <f t="shared" ref="D101:D107" si="9" xml:space="preserve"> IF(C101="","",setValueToTime(C101))</f>
        <v>1h 15 min</v>
      </c>
      <c r="E101" s="46"/>
      <c r="F101" s="173"/>
      <c r="G101" s="174"/>
      <c r="H101" s="152"/>
    </row>
    <row r="102" spans="2:8" s="43" customFormat="1" ht="27" x14ac:dyDescent="0.3">
      <c r="B102" s="44" t="s">
        <v>56</v>
      </c>
      <c r="C102" s="45">
        <v>8</v>
      </c>
      <c r="D102" s="126" t="str">
        <f t="shared" si="9"/>
        <v xml:space="preserve"> 40 min</v>
      </c>
      <c r="E102" s="46"/>
      <c r="F102" s="173"/>
      <c r="G102" s="174"/>
      <c r="H102" s="152"/>
    </row>
    <row r="103" spans="2:8" s="43" customFormat="1" x14ac:dyDescent="0.3">
      <c r="B103" s="44"/>
      <c r="C103" s="45"/>
      <c r="D103" s="126" t="str">
        <f t="shared" si="9"/>
        <v/>
      </c>
      <c r="E103" s="46"/>
      <c r="F103" s="173"/>
      <c r="G103" s="174"/>
      <c r="H103" s="152"/>
    </row>
    <row r="104" spans="2:8" s="43" customFormat="1" x14ac:dyDescent="0.3">
      <c r="B104" s="44"/>
      <c r="C104" s="45"/>
      <c r="D104" s="127" t="str">
        <f t="shared" si="9"/>
        <v/>
      </c>
      <c r="E104" s="46"/>
      <c r="F104" s="173"/>
      <c r="G104" s="174"/>
      <c r="H104" s="152"/>
    </row>
    <row r="105" spans="2:8" s="43" customFormat="1" x14ac:dyDescent="0.3">
      <c r="B105" s="44"/>
      <c r="C105" s="45"/>
      <c r="D105" s="127" t="str">
        <f t="shared" si="9"/>
        <v/>
      </c>
      <c r="E105" s="46"/>
      <c r="F105" s="173"/>
      <c r="G105" s="174"/>
      <c r="H105" s="152"/>
    </row>
    <row r="106" spans="2:8" s="43" customFormat="1" x14ac:dyDescent="0.3">
      <c r="B106" s="44"/>
      <c r="C106" s="45"/>
      <c r="D106" s="127" t="str">
        <f t="shared" si="9"/>
        <v/>
      </c>
      <c r="E106" s="46"/>
      <c r="F106" s="173"/>
      <c r="G106" s="174"/>
      <c r="H106" s="152"/>
    </row>
    <row r="107" spans="2:8" s="43" customFormat="1" ht="15" thickBot="1" x14ac:dyDescent="0.35">
      <c r="B107" s="44"/>
      <c r="C107" s="47"/>
      <c r="D107" s="128" t="str">
        <f t="shared" si="9"/>
        <v/>
      </c>
      <c r="E107" s="48"/>
      <c r="F107" s="175"/>
      <c r="G107" s="176"/>
      <c r="H107" s="152"/>
    </row>
    <row r="108" spans="2:8" s="43" customFormat="1" ht="15" thickBot="1" x14ac:dyDescent="0.35">
      <c r="B108" s="86" t="s">
        <v>40</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3" t="s">
        <v>38</v>
      </c>
      <c r="G111" s="224"/>
      <c r="H111" s="151"/>
    </row>
    <row r="112" spans="2:8" s="43" customFormat="1" x14ac:dyDescent="0.3">
      <c r="B112" s="40" t="s">
        <v>72</v>
      </c>
      <c r="C112" s="41">
        <v>34</v>
      </c>
      <c r="D112" s="125" t="str">
        <f xml:space="preserve"> IF(C112="","",setValueToTime(C112))</f>
        <v>2h 50 min</v>
      </c>
      <c r="E112" s="42"/>
      <c r="F112" s="181"/>
      <c r="G112" s="182"/>
      <c r="H112" s="152"/>
    </row>
    <row r="113" spans="2:8" s="43" customFormat="1" x14ac:dyDescent="0.3">
      <c r="B113" s="44" t="s">
        <v>29</v>
      </c>
      <c r="C113" s="45">
        <v>4</v>
      </c>
      <c r="D113" s="126" t="str">
        <f t="shared" ref="D113:D119" si="10" xml:space="preserve"> IF(C113="","",setValueToTime(C113))</f>
        <v xml:space="preserve"> 20 min</v>
      </c>
      <c r="E113" s="46"/>
      <c r="F113" s="173"/>
      <c r="G113" s="174"/>
      <c r="H113" s="152"/>
    </row>
    <row r="114" spans="2:8" s="43" customFormat="1" x14ac:dyDescent="0.3">
      <c r="B114" s="44"/>
      <c r="C114" s="45"/>
      <c r="D114" s="126" t="str">
        <f t="shared" si="10"/>
        <v/>
      </c>
      <c r="E114" s="46"/>
      <c r="F114" s="173"/>
      <c r="G114" s="174"/>
      <c r="H114" s="152"/>
    </row>
    <row r="115" spans="2:8" s="43" customFormat="1" x14ac:dyDescent="0.3">
      <c r="B115" s="44"/>
      <c r="C115" s="45"/>
      <c r="D115" s="126" t="str">
        <f t="shared" si="10"/>
        <v/>
      </c>
      <c r="E115" s="46"/>
      <c r="F115" s="173"/>
      <c r="G115" s="174"/>
      <c r="H115" s="152"/>
    </row>
    <row r="116" spans="2:8" s="43" customFormat="1" x14ac:dyDescent="0.3">
      <c r="B116" s="44"/>
      <c r="C116" s="45"/>
      <c r="D116" s="127" t="str">
        <f t="shared" si="10"/>
        <v/>
      </c>
      <c r="E116" s="46"/>
      <c r="F116" s="173"/>
      <c r="G116" s="174"/>
      <c r="H116" s="152"/>
    </row>
    <row r="117" spans="2:8" s="43" customFormat="1" x14ac:dyDescent="0.3">
      <c r="B117" s="44"/>
      <c r="C117" s="45"/>
      <c r="D117" s="127" t="str">
        <f t="shared" si="10"/>
        <v/>
      </c>
      <c r="E117" s="46"/>
      <c r="F117" s="173"/>
      <c r="G117" s="174"/>
      <c r="H117" s="152"/>
    </row>
    <row r="118" spans="2:8" s="43" customFormat="1" x14ac:dyDescent="0.3">
      <c r="B118" s="44"/>
      <c r="C118" s="45"/>
      <c r="D118" s="127" t="str">
        <f t="shared" si="10"/>
        <v/>
      </c>
      <c r="E118" s="46"/>
      <c r="F118" s="173"/>
      <c r="G118" s="174"/>
      <c r="H118" s="152"/>
    </row>
    <row r="119" spans="2:8" s="43" customFormat="1" ht="15" thickBot="1" x14ac:dyDescent="0.35">
      <c r="B119" s="44"/>
      <c r="C119" s="47"/>
      <c r="D119" s="128" t="str">
        <f t="shared" si="10"/>
        <v/>
      </c>
      <c r="E119" s="48"/>
      <c r="F119" s="175"/>
      <c r="G119" s="176"/>
      <c r="H119" s="152"/>
    </row>
    <row r="120" spans="2:8" s="43" customFormat="1" ht="15" thickBot="1" x14ac:dyDescent="0.35">
      <c r="B120" s="86" t="s">
        <v>40</v>
      </c>
      <c r="C120" s="67">
        <f>SUM(C112:C119)</f>
        <v>38</v>
      </c>
      <c r="D120" s="86" t="str">
        <f xml:space="preserve"> setValueToTime(C120)</f>
        <v>3h 10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3" t="s">
        <v>38</v>
      </c>
      <c r="G123" s="224"/>
      <c r="H123" s="151"/>
    </row>
    <row r="124" spans="2:8" s="43" customFormat="1" x14ac:dyDescent="0.3">
      <c r="B124" s="40" t="s">
        <v>64</v>
      </c>
      <c r="C124" s="41">
        <v>5</v>
      </c>
      <c r="D124" s="125" t="str">
        <f xml:space="preserve"> IF(C124="","",setValueToTime(C124))</f>
        <v xml:space="preserve"> 25 min</v>
      </c>
      <c r="E124" s="42"/>
      <c r="F124" s="181"/>
      <c r="G124" s="182"/>
      <c r="H124" s="152"/>
    </row>
    <row r="125" spans="2:8" s="43" customFormat="1" x14ac:dyDescent="0.3">
      <c r="B125" s="44" t="s">
        <v>30</v>
      </c>
      <c r="C125" s="45">
        <v>30</v>
      </c>
      <c r="D125" s="126" t="str">
        <f t="shared" ref="D125:D131" si="11" xml:space="preserve"> IF(C125="","",setValueToTime(C125))</f>
        <v>2h 30 min</v>
      </c>
      <c r="E125" s="46"/>
      <c r="F125" s="173"/>
      <c r="G125" s="174"/>
      <c r="H125" s="152"/>
    </row>
    <row r="126" spans="2:8" s="43" customFormat="1" x14ac:dyDescent="0.3">
      <c r="B126" s="44" t="s">
        <v>72</v>
      </c>
      <c r="C126" s="45">
        <v>13</v>
      </c>
      <c r="D126" s="126" t="str">
        <f t="shared" si="11"/>
        <v>1h 5 min</v>
      </c>
      <c r="E126" s="46"/>
      <c r="F126" s="173"/>
      <c r="G126" s="174"/>
      <c r="H126" s="152"/>
    </row>
    <row r="127" spans="2:8" s="43" customFormat="1" x14ac:dyDescent="0.3">
      <c r="B127" s="44"/>
      <c r="C127" s="45"/>
      <c r="D127" s="126" t="str">
        <f t="shared" si="11"/>
        <v/>
      </c>
      <c r="E127" s="46"/>
      <c r="F127" s="173"/>
      <c r="G127" s="174"/>
      <c r="H127" s="152"/>
    </row>
    <row r="128" spans="2:8" s="43" customFormat="1" x14ac:dyDescent="0.3">
      <c r="B128" s="44"/>
      <c r="C128" s="45"/>
      <c r="D128" s="127" t="str">
        <f t="shared" si="11"/>
        <v/>
      </c>
      <c r="E128" s="46"/>
      <c r="F128" s="173"/>
      <c r="G128" s="174"/>
      <c r="H128" s="152"/>
    </row>
    <row r="129" spans="2:8" s="43" customFormat="1" x14ac:dyDescent="0.3">
      <c r="B129" s="44"/>
      <c r="C129" s="45"/>
      <c r="D129" s="127" t="str">
        <f t="shared" si="11"/>
        <v/>
      </c>
      <c r="E129" s="46"/>
      <c r="F129" s="173"/>
      <c r="G129" s="174"/>
      <c r="H129" s="152"/>
    </row>
    <row r="130" spans="2:8" s="43" customFormat="1" x14ac:dyDescent="0.3">
      <c r="B130" s="44"/>
      <c r="C130" s="45"/>
      <c r="D130" s="127" t="str">
        <f t="shared" si="11"/>
        <v/>
      </c>
      <c r="E130" s="46"/>
      <c r="F130" s="173"/>
      <c r="G130" s="174"/>
      <c r="H130" s="152"/>
    </row>
    <row r="131" spans="2:8" s="43" customFormat="1" ht="15" thickBot="1" x14ac:dyDescent="0.35">
      <c r="B131" s="44"/>
      <c r="C131" s="47"/>
      <c r="D131" s="128" t="str">
        <f t="shared" si="11"/>
        <v/>
      </c>
      <c r="E131" s="48"/>
      <c r="F131" s="175"/>
      <c r="G131" s="176"/>
      <c r="H131" s="152"/>
    </row>
    <row r="132" spans="2:8" s="43" customFormat="1" ht="15" thickBot="1" x14ac:dyDescent="0.35">
      <c r="B132" s="86" t="s">
        <v>40</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3" t="s">
        <v>38</v>
      </c>
      <c r="G135" s="224"/>
      <c r="H135" s="151"/>
    </row>
    <row r="136" spans="2:8" s="43" customFormat="1" ht="27" x14ac:dyDescent="0.3">
      <c r="B136" s="40" t="s">
        <v>66</v>
      </c>
      <c r="C136" s="41">
        <v>17</v>
      </c>
      <c r="D136" s="125" t="str">
        <f xml:space="preserve"> IF(C136="","",setValueToTime(C136))</f>
        <v>1h 25 min</v>
      </c>
      <c r="E136" s="42"/>
      <c r="F136" s="181"/>
      <c r="G136" s="182"/>
      <c r="H136" s="152"/>
    </row>
    <row r="137" spans="2:8" s="43" customFormat="1" x14ac:dyDescent="0.3">
      <c r="B137" s="44" t="s">
        <v>64</v>
      </c>
      <c r="C137" s="45">
        <v>17</v>
      </c>
      <c r="D137" s="126" t="str">
        <f t="shared" ref="D137:D143" si="12" xml:space="preserve"> IF(C137="","",setValueToTime(C137))</f>
        <v>1h 25 min</v>
      </c>
      <c r="E137" s="46"/>
      <c r="F137" s="173"/>
      <c r="G137" s="174"/>
      <c r="H137" s="152"/>
    </row>
    <row r="138" spans="2:8" s="43" customFormat="1" x14ac:dyDescent="0.3">
      <c r="B138" s="44" t="s">
        <v>29</v>
      </c>
      <c r="C138" s="45">
        <v>4</v>
      </c>
      <c r="D138" s="126" t="str">
        <f t="shared" si="12"/>
        <v xml:space="preserve"> 20 min</v>
      </c>
      <c r="E138" s="46"/>
      <c r="F138" s="173"/>
      <c r="G138" s="174"/>
      <c r="H138" s="152"/>
    </row>
    <row r="139" spans="2:8" s="43" customFormat="1" x14ac:dyDescent="0.3">
      <c r="B139" s="44"/>
      <c r="C139" s="45"/>
      <c r="D139" s="126" t="str">
        <f t="shared" si="12"/>
        <v/>
      </c>
      <c r="E139" s="46"/>
      <c r="F139" s="173"/>
      <c r="G139" s="174"/>
      <c r="H139" s="152"/>
    </row>
    <row r="140" spans="2:8" s="43" customFormat="1" x14ac:dyDescent="0.3">
      <c r="B140" s="44"/>
      <c r="C140" s="45"/>
      <c r="D140" s="127" t="str">
        <f t="shared" si="12"/>
        <v/>
      </c>
      <c r="E140" s="46"/>
      <c r="F140" s="173"/>
      <c r="G140" s="174"/>
      <c r="H140" s="152"/>
    </row>
    <row r="141" spans="2:8" s="43" customFormat="1" x14ac:dyDescent="0.3">
      <c r="B141" s="44"/>
      <c r="C141" s="45"/>
      <c r="D141" s="127" t="str">
        <f t="shared" si="12"/>
        <v/>
      </c>
      <c r="E141" s="46"/>
      <c r="F141" s="173"/>
      <c r="G141" s="174"/>
      <c r="H141" s="152"/>
    </row>
    <row r="142" spans="2:8" s="43" customFormat="1" x14ac:dyDescent="0.3">
      <c r="B142" s="44"/>
      <c r="C142" s="45"/>
      <c r="D142" s="127" t="str">
        <f t="shared" si="12"/>
        <v/>
      </c>
      <c r="E142" s="46"/>
      <c r="F142" s="173"/>
      <c r="G142" s="174"/>
      <c r="H142" s="152"/>
    </row>
    <row r="143" spans="2:8" s="43" customFormat="1" ht="15" thickBot="1" x14ac:dyDescent="0.35">
      <c r="B143" s="44"/>
      <c r="C143" s="47"/>
      <c r="D143" s="128" t="str">
        <f t="shared" si="12"/>
        <v/>
      </c>
      <c r="E143" s="48"/>
      <c r="F143" s="175"/>
      <c r="G143" s="176"/>
      <c r="H143" s="152"/>
    </row>
    <row r="144" spans="2:8" s="43" customFormat="1" ht="15" thickBot="1" x14ac:dyDescent="0.35">
      <c r="B144" s="86" t="s">
        <v>40</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3" t="s">
        <v>38</v>
      </c>
      <c r="G147" s="224"/>
      <c r="H147" s="151"/>
    </row>
    <row r="148" spans="2:8" s="43" customFormat="1" ht="27" x14ac:dyDescent="0.3">
      <c r="B148" s="40" t="s">
        <v>67</v>
      </c>
      <c r="C148" s="41">
        <v>33</v>
      </c>
      <c r="D148" s="125" t="str">
        <f xml:space="preserve"> IF(C148="","",setValueToTime(C148))</f>
        <v>2h 45 min</v>
      </c>
      <c r="E148" s="42"/>
      <c r="F148" s="181"/>
      <c r="G148" s="182"/>
      <c r="H148" s="152"/>
    </row>
    <row r="149" spans="2:8" s="43" customFormat="1" ht="27" x14ac:dyDescent="0.3">
      <c r="B149" s="44" t="s">
        <v>66</v>
      </c>
      <c r="C149" s="45">
        <v>15</v>
      </c>
      <c r="D149" s="126" t="str">
        <f t="shared" ref="D149:D155" si="13" xml:space="preserve"> IF(C149="","",setValueToTime(C149))</f>
        <v>1h 15 min</v>
      </c>
      <c r="E149" s="46"/>
      <c r="F149" s="173"/>
      <c r="G149" s="174"/>
      <c r="H149" s="152"/>
    </row>
    <row r="150" spans="2:8" s="43" customFormat="1" x14ac:dyDescent="0.3">
      <c r="B150" s="44"/>
      <c r="C150" s="45"/>
      <c r="D150" s="126" t="str">
        <f t="shared" si="13"/>
        <v/>
      </c>
      <c r="E150" s="46"/>
      <c r="F150" s="173"/>
      <c r="G150" s="174"/>
      <c r="H150" s="152"/>
    </row>
    <row r="151" spans="2:8" s="43" customFormat="1" x14ac:dyDescent="0.3">
      <c r="B151" s="44"/>
      <c r="C151" s="45"/>
      <c r="D151" s="126" t="str">
        <f t="shared" si="13"/>
        <v/>
      </c>
      <c r="E151" s="46"/>
      <c r="F151" s="173"/>
      <c r="G151" s="174"/>
      <c r="H151" s="152"/>
    </row>
    <row r="152" spans="2:8" s="43" customFormat="1" x14ac:dyDescent="0.3">
      <c r="B152" s="44"/>
      <c r="C152" s="45"/>
      <c r="D152" s="127" t="str">
        <f t="shared" si="13"/>
        <v/>
      </c>
      <c r="E152" s="46"/>
      <c r="F152" s="173"/>
      <c r="G152" s="174"/>
      <c r="H152" s="152"/>
    </row>
    <row r="153" spans="2:8" s="43" customFormat="1" x14ac:dyDescent="0.3">
      <c r="B153" s="44"/>
      <c r="C153" s="45"/>
      <c r="D153" s="127" t="str">
        <f t="shared" si="13"/>
        <v/>
      </c>
      <c r="E153" s="46"/>
      <c r="F153" s="173"/>
      <c r="G153" s="174"/>
      <c r="H153" s="152"/>
    </row>
    <row r="154" spans="2:8" s="43" customFormat="1" x14ac:dyDescent="0.3">
      <c r="B154" s="44"/>
      <c r="C154" s="45"/>
      <c r="D154" s="127" t="str">
        <f t="shared" si="13"/>
        <v/>
      </c>
      <c r="E154" s="46"/>
      <c r="F154" s="173"/>
      <c r="G154" s="174"/>
      <c r="H154" s="152"/>
    </row>
    <row r="155" spans="2:8" s="43" customFormat="1" ht="15" thickBot="1" x14ac:dyDescent="0.35">
      <c r="B155" s="44"/>
      <c r="C155" s="47"/>
      <c r="D155" s="128" t="str">
        <f t="shared" si="13"/>
        <v/>
      </c>
      <c r="E155" s="48"/>
      <c r="F155" s="175"/>
      <c r="G155" s="176"/>
      <c r="H155" s="152"/>
    </row>
    <row r="156" spans="2:8" s="43" customFormat="1" ht="15" thickBot="1" x14ac:dyDescent="0.35">
      <c r="B156" s="86" t="s">
        <v>40</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3" t="s">
        <v>38</v>
      </c>
      <c r="G159" s="224"/>
      <c r="H159" s="151"/>
    </row>
    <row r="160" spans="2:8" s="43" customFormat="1" x14ac:dyDescent="0.3">
      <c r="B160" s="40" t="s">
        <v>68</v>
      </c>
      <c r="C160" s="41">
        <v>10</v>
      </c>
      <c r="D160" s="125" t="str">
        <f xml:space="preserve"> IF(C160="","",setValueToTime(C160))</f>
        <v xml:space="preserve"> 50 min</v>
      </c>
      <c r="E160" s="42"/>
      <c r="F160" s="181"/>
      <c r="G160" s="182"/>
      <c r="H160" s="152"/>
    </row>
    <row r="161" spans="2:8" s="43" customFormat="1" ht="27" x14ac:dyDescent="0.3">
      <c r="B161" s="44" t="s">
        <v>67</v>
      </c>
      <c r="C161" s="45">
        <v>15</v>
      </c>
      <c r="D161" s="126" t="str">
        <f t="shared" ref="D161:D167" si="14" xml:space="preserve"> IF(C161="","",setValueToTime(C161))</f>
        <v>1h 15 min</v>
      </c>
      <c r="E161" s="46"/>
      <c r="F161" s="173"/>
      <c r="G161" s="174"/>
      <c r="H161" s="152"/>
    </row>
    <row r="162" spans="2:8" s="43" customFormat="1" x14ac:dyDescent="0.3">
      <c r="B162" s="44" t="s">
        <v>29</v>
      </c>
      <c r="C162" s="45">
        <v>4</v>
      </c>
      <c r="D162" s="126" t="str">
        <f t="shared" si="14"/>
        <v xml:space="preserve"> 20 min</v>
      </c>
      <c r="E162" s="46"/>
      <c r="F162" s="173"/>
      <c r="G162" s="174"/>
      <c r="H162" s="152"/>
    </row>
    <row r="163" spans="2:8" s="43" customFormat="1" x14ac:dyDescent="0.3">
      <c r="B163" s="44"/>
      <c r="C163" s="45"/>
      <c r="D163" s="126" t="str">
        <f t="shared" si="14"/>
        <v/>
      </c>
      <c r="E163" s="46"/>
      <c r="F163" s="173"/>
      <c r="G163" s="174"/>
      <c r="H163" s="152"/>
    </row>
    <row r="164" spans="2:8" s="43" customFormat="1" x14ac:dyDescent="0.3">
      <c r="B164" s="44"/>
      <c r="C164" s="45"/>
      <c r="D164" s="127" t="str">
        <f t="shared" si="14"/>
        <v/>
      </c>
      <c r="E164" s="46"/>
      <c r="F164" s="173"/>
      <c r="G164" s="174"/>
      <c r="H164" s="152"/>
    </row>
    <row r="165" spans="2:8" s="43" customFormat="1" x14ac:dyDescent="0.3">
      <c r="B165" s="44"/>
      <c r="C165" s="45"/>
      <c r="D165" s="127" t="str">
        <f t="shared" si="14"/>
        <v/>
      </c>
      <c r="E165" s="46"/>
      <c r="F165" s="173"/>
      <c r="G165" s="174"/>
      <c r="H165" s="152"/>
    </row>
    <row r="166" spans="2:8" s="43" customFormat="1" x14ac:dyDescent="0.3">
      <c r="B166" s="44"/>
      <c r="C166" s="45"/>
      <c r="D166" s="127" t="str">
        <f t="shared" si="14"/>
        <v/>
      </c>
      <c r="E166" s="46"/>
      <c r="F166" s="173"/>
      <c r="G166" s="174"/>
      <c r="H166" s="152"/>
    </row>
    <row r="167" spans="2:8" s="43" customFormat="1" ht="15" thickBot="1" x14ac:dyDescent="0.35">
      <c r="B167" s="44"/>
      <c r="C167" s="47"/>
      <c r="D167" s="128" t="str">
        <f t="shared" si="14"/>
        <v/>
      </c>
      <c r="E167" s="48"/>
      <c r="F167" s="175"/>
      <c r="G167" s="176"/>
      <c r="H167" s="152"/>
    </row>
    <row r="168" spans="2:8" s="43" customFormat="1" ht="15" thickBot="1" x14ac:dyDescent="0.35">
      <c r="B168" s="86" t="s">
        <v>40</v>
      </c>
      <c r="C168" s="67">
        <f>SUM(C160:C167)</f>
        <v>29</v>
      </c>
      <c r="D168" s="86" t="str">
        <f xml:space="preserve"> setValueToTime(C168)</f>
        <v>2h 25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3" t="s">
        <v>38</v>
      </c>
      <c r="G171" s="224"/>
      <c r="H171" s="151"/>
    </row>
    <row r="172" spans="2:8" s="43" customFormat="1" ht="27" x14ac:dyDescent="0.3">
      <c r="B172" s="40" t="s">
        <v>62</v>
      </c>
      <c r="C172" s="41">
        <v>19</v>
      </c>
      <c r="D172" s="125" t="str">
        <f xml:space="preserve"> IF(C172="","",setValueToTime(C172))</f>
        <v>1h 35 min</v>
      </c>
      <c r="E172" s="42"/>
      <c r="F172" s="181"/>
      <c r="G172" s="182"/>
      <c r="H172" s="152"/>
    </row>
    <row r="173" spans="2:8" s="43" customFormat="1" x14ac:dyDescent="0.3">
      <c r="B173" s="44" t="s">
        <v>69</v>
      </c>
      <c r="C173" s="45">
        <v>12</v>
      </c>
      <c r="D173" s="126" t="str">
        <f t="shared" ref="D173:D179" si="15" xml:space="preserve"> IF(C173="","",setValueToTime(C173))</f>
        <v>1h</v>
      </c>
      <c r="E173" s="46"/>
      <c r="F173" s="173"/>
      <c r="G173" s="174"/>
      <c r="H173" s="152"/>
    </row>
    <row r="174" spans="2:8" s="43" customFormat="1" x14ac:dyDescent="0.3">
      <c r="B174" s="44" t="s">
        <v>68</v>
      </c>
      <c r="C174" s="45">
        <v>7</v>
      </c>
      <c r="D174" s="126" t="str">
        <f t="shared" ref="D174" si="16" xml:space="preserve"> IF(C174="","",setValueToTime(C174))</f>
        <v xml:space="preserve"> 35 min</v>
      </c>
      <c r="E174" s="46"/>
      <c r="F174" s="173"/>
      <c r="G174" s="174"/>
      <c r="H174" s="152"/>
    </row>
    <row r="175" spans="2:8" s="43" customFormat="1" x14ac:dyDescent="0.3">
      <c r="B175" s="44"/>
      <c r="C175" s="45"/>
      <c r="D175" s="126" t="str">
        <f t="shared" si="15"/>
        <v/>
      </c>
      <c r="E175" s="46"/>
      <c r="F175" s="173"/>
      <c r="G175" s="174"/>
      <c r="H175" s="152"/>
    </row>
    <row r="176" spans="2:8" s="43" customFormat="1" x14ac:dyDescent="0.3">
      <c r="B176" s="44"/>
      <c r="C176" s="45"/>
      <c r="D176" s="127" t="str">
        <f t="shared" si="15"/>
        <v/>
      </c>
      <c r="E176" s="46"/>
      <c r="F176" s="173"/>
      <c r="G176" s="174"/>
      <c r="H176" s="152"/>
    </row>
    <row r="177" spans="2:8" s="43" customFormat="1" x14ac:dyDescent="0.3">
      <c r="B177" s="44"/>
      <c r="C177" s="45"/>
      <c r="D177" s="127" t="str">
        <f t="shared" si="15"/>
        <v/>
      </c>
      <c r="E177" s="46"/>
      <c r="F177" s="173"/>
      <c r="G177" s="174"/>
      <c r="H177" s="152"/>
    </row>
    <row r="178" spans="2:8" s="43" customFormat="1" x14ac:dyDescent="0.3">
      <c r="B178" s="44"/>
      <c r="C178" s="45"/>
      <c r="D178" s="127" t="str">
        <f t="shared" si="15"/>
        <v/>
      </c>
      <c r="E178" s="46"/>
      <c r="F178" s="173"/>
      <c r="G178" s="174"/>
      <c r="H178" s="152"/>
    </row>
    <row r="179" spans="2:8" s="43" customFormat="1" ht="15" thickBot="1" x14ac:dyDescent="0.35">
      <c r="B179" s="44"/>
      <c r="C179" s="47"/>
      <c r="D179" s="128" t="str">
        <f t="shared" si="15"/>
        <v/>
      </c>
      <c r="E179" s="48"/>
      <c r="F179" s="175"/>
      <c r="G179" s="176"/>
      <c r="H179" s="152"/>
    </row>
    <row r="180" spans="2:8" s="43" customFormat="1" ht="15" thickBot="1" x14ac:dyDescent="0.35">
      <c r="B180" s="86" t="s">
        <v>40</v>
      </c>
      <c r="C180" s="67">
        <f>SUM(C172:C179)</f>
        <v>38</v>
      </c>
      <c r="D180" s="86" t="str">
        <f xml:space="preserve"> setValueToTime(C180)</f>
        <v>3h 10 min</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3" t="s">
        <v>38</v>
      </c>
      <c r="G183" s="224"/>
      <c r="H183" s="151"/>
    </row>
    <row r="184" spans="2:8" s="43" customFormat="1" x14ac:dyDescent="0.3">
      <c r="B184" s="40" t="s">
        <v>48</v>
      </c>
      <c r="C184" s="41">
        <v>6</v>
      </c>
      <c r="D184" s="125" t="str">
        <f xml:space="preserve"> IF(C184="","",setValueToTime(C184))</f>
        <v xml:space="preserve"> 30 min</v>
      </c>
      <c r="E184" s="42"/>
      <c r="F184" s="181"/>
      <c r="G184" s="182"/>
      <c r="H184" s="152"/>
    </row>
    <row r="185" spans="2:8" s="43" customFormat="1" x14ac:dyDescent="0.3">
      <c r="B185" s="44" t="s">
        <v>30</v>
      </c>
      <c r="C185" s="45">
        <v>20</v>
      </c>
      <c r="D185" s="126" t="str">
        <f t="shared" ref="D185:D191" si="17" xml:space="preserve"> IF(C185="","",setValueToTime(C185))</f>
        <v>1h 40 min</v>
      </c>
      <c r="E185" s="46"/>
      <c r="F185" s="173"/>
      <c r="G185" s="174"/>
      <c r="H185" s="152"/>
    </row>
    <row r="186" spans="2:8" s="43" customFormat="1" ht="27" x14ac:dyDescent="0.3">
      <c r="B186" s="44" t="s">
        <v>65</v>
      </c>
      <c r="C186" s="45">
        <v>10</v>
      </c>
      <c r="D186" s="126" t="str">
        <f t="shared" si="17"/>
        <v xml:space="preserve"> 50 min</v>
      </c>
      <c r="E186" s="46"/>
      <c r="F186" s="173"/>
      <c r="G186" s="174"/>
      <c r="H186" s="152"/>
    </row>
    <row r="187" spans="2:8" s="43" customFormat="1" x14ac:dyDescent="0.3">
      <c r="B187" s="44" t="s">
        <v>29</v>
      </c>
      <c r="C187" s="45">
        <v>2</v>
      </c>
      <c r="D187" s="126" t="str">
        <f t="shared" si="17"/>
        <v xml:space="preserve"> 10 min</v>
      </c>
      <c r="E187" s="46"/>
      <c r="F187" s="173"/>
      <c r="G187" s="174"/>
      <c r="H187" s="152"/>
    </row>
    <row r="188" spans="2:8" s="43" customFormat="1" x14ac:dyDescent="0.3">
      <c r="B188" s="44"/>
      <c r="C188" s="45"/>
      <c r="D188" s="127" t="str">
        <f t="shared" si="17"/>
        <v/>
      </c>
      <c r="E188" s="46"/>
      <c r="F188" s="173"/>
      <c r="G188" s="174"/>
      <c r="H188" s="152"/>
    </row>
    <row r="189" spans="2:8" s="43" customFormat="1" x14ac:dyDescent="0.3">
      <c r="B189" s="44"/>
      <c r="C189" s="45"/>
      <c r="D189" s="127" t="str">
        <f t="shared" si="17"/>
        <v/>
      </c>
      <c r="E189" s="46"/>
      <c r="F189" s="173"/>
      <c r="G189" s="174"/>
      <c r="H189" s="152"/>
    </row>
    <row r="190" spans="2:8" s="43" customFormat="1" x14ac:dyDescent="0.3">
      <c r="B190" s="44"/>
      <c r="C190" s="45"/>
      <c r="D190" s="127" t="str">
        <f t="shared" si="17"/>
        <v/>
      </c>
      <c r="E190" s="46"/>
      <c r="F190" s="173"/>
      <c r="G190" s="174"/>
      <c r="H190" s="152"/>
    </row>
    <row r="191" spans="2:8" s="43" customFormat="1" ht="15" thickBot="1" x14ac:dyDescent="0.35">
      <c r="B191" s="44"/>
      <c r="C191" s="47"/>
      <c r="D191" s="128" t="str">
        <f t="shared" si="17"/>
        <v/>
      </c>
      <c r="E191" s="48"/>
      <c r="F191" s="175"/>
      <c r="G191" s="176"/>
      <c r="H191" s="152"/>
    </row>
    <row r="192" spans="2:8" s="43" customFormat="1" ht="15" thickBot="1" x14ac:dyDescent="0.35">
      <c r="B192" s="86" t="s">
        <v>40</v>
      </c>
      <c r="C192" s="67">
        <f>SUM(C184:C191)</f>
        <v>38</v>
      </c>
      <c r="D192" s="86" t="str">
        <f xml:space="preserve"> setValueToTime(C192)</f>
        <v>3h 10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3" t="s">
        <v>38</v>
      </c>
      <c r="G195" s="224"/>
      <c r="H195" s="151"/>
    </row>
    <row r="196" spans="2:8" s="43" customFormat="1" x14ac:dyDescent="0.3">
      <c r="B196" s="40" t="s">
        <v>53</v>
      </c>
      <c r="C196" s="41">
        <v>30</v>
      </c>
      <c r="D196" s="125" t="str">
        <f xml:space="preserve"> IF(C196="","",setValueToTime(C196))</f>
        <v>2h 30 min</v>
      </c>
      <c r="E196" s="42"/>
      <c r="F196" s="181"/>
      <c r="G196" s="182"/>
      <c r="H196" s="152"/>
    </row>
    <row r="197" spans="2:8" s="43" customFormat="1" x14ac:dyDescent="0.3">
      <c r="B197" s="44" t="s">
        <v>48</v>
      </c>
      <c r="C197" s="45">
        <v>18</v>
      </c>
      <c r="D197" s="126" t="str">
        <f t="shared" ref="D197:D203" si="18" xml:space="preserve"> IF(C197="","",setValueToTime(C197))</f>
        <v>1h 30 min</v>
      </c>
      <c r="E197" s="46"/>
      <c r="F197" s="173"/>
      <c r="G197" s="174"/>
      <c r="H197" s="152"/>
    </row>
    <row r="198" spans="2:8" s="43" customFormat="1" x14ac:dyDescent="0.3">
      <c r="B198" s="44"/>
      <c r="C198" s="45"/>
      <c r="D198" s="126" t="str">
        <f t="shared" si="18"/>
        <v/>
      </c>
      <c r="E198" s="46"/>
      <c r="F198" s="173"/>
      <c r="G198" s="174"/>
      <c r="H198" s="152"/>
    </row>
    <row r="199" spans="2:8" s="43" customFormat="1" x14ac:dyDescent="0.3">
      <c r="B199" s="44"/>
      <c r="C199" s="45"/>
      <c r="D199" s="126" t="str">
        <f t="shared" si="18"/>
        <v/>
      </c>
      <c r="E199" s="46"/>
      <c r="F199" s="173"/>
      <c r="G199" s="174"/>
      <c r="H199" s="152"/>
    </row>
    <row r="200" spans="2:8" s="43" customFormat="1" x14ac:dyDescent="0.3">
      <c r="B200" s="44"/>
      <c r="C200" s="45"/>
      <c r="D200" s="127" t="str">
        <f t="shared" si="18"/>
        <v/>
      </c>
      <c r="E200" s="46"/>
      <c r="F200" s="173"/>
      <c r="G200" s="174"/>
      <c r="H200" s="152"/>
    </row>
    <row r="201" spans="2:8" s="43" customFormat="1" x14ac:dyDescent="0.3">
      <c r="B201" s="44"/>
      <c r="C201" s="45"/>
      <c r="D201" s="127" t="str">
        <f t="shared" si="18"/>
        <v/>
      </c>
      <c r="E201" s="46"/>
      <c r="F201" s="173"/>
      <c r="G201" s="174"/>
      <c r="H201" s="152"/>
    </row>
    <row r="202" spans="2:8" s="43" customFormat="1" x14ac:dyDescent="0.3">
      <c r="B202" s="44"/>
      <c r="C202" s="45"/>
      <c r="D202" s="127" t="str">
        <f t="shared" si="18"/>
        <v/>
      </c>
      <c r="E202" s="46"/>
      <c r="F202" s="173"/>
      <c r="G202" s="174"/>
      <c r="H202" s="152"/>
    </row>
    <row r="203" spans="2:8" s="43" customFormat="1" ht="15" thickBot="1" x14ac:dyDescent="0.35">
      <c r="B203" s="44"/>
      <c r="C203" s="47"/>
      <c r="D203" s="128" t="str">
        <f t="shared" si="18"/>
        <v/>
      </c>
      <c r="E203" s="48"/>
      <c r="F203" s="175"/>
      <c r="G203" s="176"/>
      <c r="H203" s="152"/>
    </row>
    <row r="204" spans="2:8" s="43" customFormat="1" ht="15" thickBot="1" x14ac:dyDescent="0.35">
      <c r="B204" s="86" t="s">
        <v>40</v>
      </c>
      <c r="C204" s="67">
        <f>SUM(C196:C203)</f>
        <v>48</v>
      </c>
      <c r="D204" s="86" t="str">
        <f xml:space="preserve"> setValueToTime(C204)</f>
        <v>4h</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3" t="s">
        <v>38</v>
      </c>
      <c r="G207" s="224"/>
      <c r="H207" s="151"/>
    </row>
    <row r="208" spans="2:8" s="43" customFormat="1" ht="27" x14ac:dyDescent="0.3">
      <c r="B208" s="40" t="s">
        <v>54</v>
      </c>
      <c r="C208" s="41">
        <v>6</v>
      </c>
      <c r="D208" s="125" t="str">
        <f xml:space="preserve"> IF(C208="","",setValueToTime(C208))</f>
        <v xml:space="preserve"> 30 min</v>
      </c>
      <c r="E208" s="42"/>
      <c r="F208" s="181"/>
      <c r="G208" s="182"/>
      <c r="H208" s="152"/>
    </row>
    <row r="209" spans="2:8" s="43" customFormat="1" x14ac:dyDescent="0.3">
      <c r="B209" s="44" t="s">
        <v>53</v>
      </c>
      <c r="C209" s="45">
        <v>19</v>
      </c>
      <c r="D209" s="126" t="str">
        <f t="shared" ref="D209:D215" si="19" xml:space="preserve"> IF(C209="","",setValueToTime(C209))</f>
        <v>1h 35 min</v>
      </c>
      <c r="E209" s="46"/>
      <c r="F209" s="173"/>
      <c r="G209" s="174"/>
      <c r="H209" s="152"/>
    </row>
    <row r="210" spans="2:8" s="43" customFormat="1" x14ac:dyDescent="0.3">
      <c r="B210" s="44" t="s">
        <v>29</v>
      </c>
      <c r="C210" s="45">
        <v>4</v>
      </c>
      <c r="D210" s="126" t="str">
        <f t="shared" si="19"/>
        <v xml:space="preserve"> 20 min</v>
      </c>
      <c r="E210" s="46"/>
      <c r="F210" s="173"/>
      <c r="G210" s="174"/>
      <c r="H210" s="152"/>
    </row>
    <row r="211" spans="2:8" s="43" customFormat="1" x14ac:dyDescent="0.3">
      <c r="B211" s="44"/>
      <c r="C211" s="45"/>
      <c r="D211" s="126" t="str">
        <f t="shared" si="19"/>
        <v/>
      </c>
      <c r="E211" s="46"/>
      <c r="F211" s="173"/>
      <c r="G211" s="174"/>
      <c r="H211" s="152"/>
    </row>
    <row r="212" spans="2:8" s="43" customFormat="1" x14ac:dyDescent="0.3">
      <c r="B212" s="44"/>
      <c r="C212" s="45"/>
      <c r="D212" s="127" t="str">
        <f t="shared" si="19"/>
        <v/>
      </c>
      <c r="E212" s="46"/>
      <c r="F212" s="173"/>
      <c r="G212" s="174"/>
      <c r="H212" s="152"/>
    </row>
    <row r="213" spans="2:8" s="43" customFormat="1" x14ac:dyDescent="0.3">
      <c r="B213" s="44"/>
      <c r="C213" s="45"/>
      <c r="D213" s="127" t="str">
        <f t="shared" si="19"/>
        <v/>
      </c>
      <c r="E213" s="46"/>
      <c r="F213" s="173"/>
      <c r="G213" s="174"/>
      <c r="H213" s="152"/>
    </row>
    <row r="214" spans="2:8" s="43" customFormat="1" x14ac:dyDescent="0.3">
      <c r="B214" s="44"/>
      <c r="C214" s="45"/>
      <c r="D214" s="127" t="str">
        <f t="shared" si="19"/>
        <v/>
      </c>
      <c r="E214" s="46"/>
      <c r="F214" s="173"/>
      <c r="G214" s="174"/>
      <c r="H214" s="152"/>
    </row>
    <row r="215" spans="2:8" s="43" customFormat="1" ht="15" thickBot="1" x14ac:dyDescent="0.35">
      <c r="B215" s="44"/>
      <c r="C215" s="47"/>
      <c r="D215" s="128" t="str">
        <f t="shared" si="19"/>
        <v/>
      </c>
      <c r="E215" s="48"/>
      <c r="F215" s="175"/>
      <c r="G215" s="176"/>
      <c r="H215" s="152"/>
    </row>
    <row r="216" spans="2:8" s="43" customFormat="1" ht="15" thickBot="1" x14ac:dyDescent="0.35">
      <c r="B216" s="86" t="s">
        <v>40</v>
      </c>
      <c r="C216" s="67">
        <f>SUM(C208:C215)</f>
        <v>29</v>
      </c>
      <c r="D216" s="86" t="str">
        <f xml:space="preserve"> setValueToTime(C216)</f>
        <v>2h 25 min</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3" t="s">
        <v>38</v>
      </c>
      <c r="G219" s="224"/>
      <c r="H219" s="151"/>
    </row>
    <row r="220" spans="2:8" s="43" customFormat="1" x14ac:dyDescent="0.3">
      <c r="B220" s="40" t="s">
        <v>52</v>
      </c>
      <c r="C220" s="41">
        <v>32</v>
      </c>
      <c r="D220" s="125" t="str">
        <f xml:space="preserve"> IF(C220="","",setValueToTime(C220))</f>
        <v>2h 40 min</v>
      </c>
      <c r="E220" s="42"/>
      <c r="F220" s="181"/>
      <c r="G220" s="182"/>
      <c r="H220" s="152"/>
    </row>
    <row r="221" spans="2:8" s="43" customFormat="1" ht="27" x14ac:dyDescent="0.3">
      <c r="B221" s="44" t="s">
        <v>54</v>
      </c>
      <c r="C221" s="45">
        <v>6</v>
      </c>
      <c r="D221" s="126" t="str">
        <f t="shared" ref="D221:D227" si="20" xml:space="preserve"> IF(C221="","",setValueToTime(C221))</f>
        <v xml:space="preserve"> 30 min</v>
      </c>
      <c r="E221" s="46"/>
      <c r="F221" s="173"/>
      <c r="G221" s="174"/>
      <c r="H221" s="152"/>
    </row>
    <row r="222" spans="2:8" s="43" customFormat="1" x14ac:dyDescent="0.3">
      <c r="B222" s="44"/>
      <c r="C222" s="45"/>
      <c r="D222" s="126" t="str">
        <f t="shared" si="20"/>
        <v/>
      </c>
      <c r="E222" s="46"/>
      <c r="F222" s="173"/>
      <c r="G222" s="174"/>
      <c r="H222" s="152"/>
    </row>
    <row r="223" spans="2:8" s="43" customFormat="1" x14ac:dyDescent="0.3">
      <c r="B223" s="44"/>
      <c r="C223" s="45"/>
      <c r="D223" s="126" t="str">
        <f t="shared" si="20"/>
        <v/>
      </c>
      <c r="E223" s="46"/>
      <c r="F223" s="173"/>
      <c r="G223" s="174"/>
      <c r="H223" s="152"/>
    </row>
    <row r="224" spans="2:8" s="43" customFormat="1" x14ac:dyDescent="0.3">
      <c r="B224" s="44"/>
      <c r="C224" s="45"/>
      <c r="D224" s="127" t="str">
        <f t="shared" si="20"/>
        <v/>
      </c>
      <c r="E224" s="46"/>
      <c r="F224" s="173"/>
      <c r="G224" s="174"/>
      <c r="H224" s="152"/>
    </row>
    <row r="225" spans="2:8" s="43" customFormat="1" x14ac:dyDescent="0.3">
      <c r="B225" s="44"/>
      <c r="C225" s="45"/>
      <c r="D225" s="127" t="str">
        <f t="shared" si="20"/>
        <v/>
      </c>
      <c r="E225" s="46"/>
      <c r="F225" s="173"/>
      <c r="G225" s="174"/>
      <c r="H225" s="152"/>
    </row>
    <row r="226" spans="2:8" s="43" customFormat="1" x14ac:dyDescent="0.3">
      <c r="B226" s="44"/>
      <c r="C226" s="45"/>
      <c r="D226" s="127" t="str">
        <f t="shared" si="20"/>
        <v/>
      </c>
      <c r="E226" s="46"/>
      <c r="F226" s="173"/>
      <c r="G226" s="174"/>
      <c r="H226" s="152"/>
    </row>
    <row r="227" spans="2:8" s="43" customFormat="1" ht="15" thickBot="1" x14ac:dyDescent="0.35">
      <c r="B227" s="44"/>
      <c r="C227" s="47"/>
      <c r="D227" s="128" t="str">
        <f t="shared" si="20"/>
        <v/>
      </c>
      <c r="E227" s="48"/>
      <c r="F227" s="175"/>
      <c r="G227" s="176"/>
      <c r="H227" s="152"/>
    </row>
    <row r="228" spans="2:8" s="43" customFormat="1" ht="15" thickBot="1" x14ac:dyDescent="0.35">
      <c r="B228" s="86" t="s">
        <v>40</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3" t="s">
        <v>38</v>
      </c>
      <c r="G231" s="224"/>
      <c r="H231" s="151"/>
    </row>
    <row r="232" spans="2:8" s="43" customFormat="1" x14ac:dyDescent="0.3">
      <c r="B232" s="40" t="s">
        <v>44</v>
      </c>
      <c r="C232" s="41">
        <v>8</v>
      </c>
      <c r="D232" s="125" t="str">
        <f xml:space="preserve"> IF(C232="","",setValueToTime(C232))</f>
        <v xml:space="preserve"> 40 min</v>
      </c>
      <c r="E232" s="42"/>
      <c r="F232" s="181"/>
      <c r="G232" s="182"/>
      <c r="H232" s="152"/>
    </row>
    <row r="233" spans="2:8" s="43" customFormat="1" x14ac:dyDescent="0.3">
      <c r="B233" s="44" t="s">
        <v>45</v>
      </c>
      <c r="C233" s="45">
        <v>17</v>
      </c>
      <c r="D233" s="126" t="str">
        <f t="shared" ref="D233:D239" si="21" xml:space="preserve"> IF(C233="","",setValueToTime(C233))</f>
        <v>1h 25 min</v>
      </c>
      <c r="E233" s="46"/>
      <c r="F233" s="173"/>
      <c r="G233" s="174"/>
      <c r="H233" s="152"/>
    </row>
    <row r="234" spans="2:8" s="43" customFormat="1" x14ac:dyDescent="0.3">
      <c r="B234" s="44" t="s">
        <v>30</v>
      </c>
      <c r="C234" s="45">
        <v>10</v>
      </c>
      <c r="D234" s="126" t="str">
        <f t="shared" si="21"/>
        <v xml:space="preserve"> 50 min</v>
      </c>
      <c r="E234" s="46"/>
      <c r="F234" s="173"/>
      <c r="G234" s="174"/>
      <c r="H234" s="152"/>
    </row>
    <row r="235" spans="2:8" s="43" customFormat="1" x14ac:dyDescent="0.3">
      <c r="B235" s="44" t="s">
        <v>29</v>
      </c>
      <c r="C235" s="45">
        <v>3</v>
      </c>
      <c r="D235" s="126" t="str">
        <f t="shared" si="21"/>
        <v xml:space="preserve"> 15 min</v>
      </c>
      <c r="E235" s="46"/>
      <c r="F235" s="173"/>
      <c r="G235" s="174"/>
      <c r="H235" s="152"/>
    </row>
    <row r="236" spans="2:8" s="43" customFormat="1" x14ac:dyDescent="0.3">
      <c r="B236" s="44"/>
      <c r="C236" s="45"/>
      <c r="D236" s="127" t="str">
        <f t="shared" si="21"/>
        <v/>
      </c>
      <c r="E236" s="46"/>
      <c r="F236" s="173"/>
      <c r="G236" s="174"/>
      <c r="H236" s="152"/>
    </row>
    <row r="237" spans="2:8" s="43" customFormat="1" x14ac:dyDescent="0.3">
      <c r="B237" s="44"/>
      <c r="C237" s="45"/>
      <c r="D237" s="127" t="str">
        <f t="shared" si="21"/>
        <v/>
      </c>
      <c r="E237" s="46"/>
      <c r="F237" s="173"/>
      <c r="G237" s="174"/>
      <c r="H237" s="152"/>
    </row>
    <row r="238" spans="2:8" s="43" customFormat="1" x14ac:dyDescent="0.3">
      <c r="B238" s="44"/>
      <c r="C238" s="45"/>
      <c r="D238" s="127" t="str">
        <f t="shared" si="21"/>
        <v/>
      </c>
      <c r="E238" s="46"/>
      <c r="F238" s="173"/>
      <c r="G238" s="174"/>
      <c r="H238" s="152"/>
    </row>
    <row r="239" spans="2:8" s="43" customFormat="1" ht="15" thickBot="1" x14ac:dyDescent="0.35">
      <c r="B239" s="44"/>
      <c r="C239" s="47"/>
      <c r="D239" s="128" t="str">
        <f t="shared" si="21"/>
        <v/>
      </c>
      <c r="E239" s="48"/>
      <c r="F239" s="175"/>
      <c r="G239" s="176"/>
      <c r="H239" s="152"/>
    </row>
    <row r="240" spans="2:8" s="43" customFormat="1" ht="15" thickBot="1" x14ac:dyDescent="0.35">
      <c r="B240" s="86" t="s">
        <v>40</v>
      </c>
      <c r="C240" s="67">
        <f>SUM(C232:C239)</f>
        <v>38</v>
      </c>
      <c r="D240" s="86" t="str">
        <f xml:space="preserve"> setValueToTime(C240)</f>
        <v>3h 10 min</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3" t="s">
        <v>38</v>
      </c>
      <c r="G243" s="224"/>
      <c r="H243" s="151"/>
    </row>
    <row r="244" spans="2:8" s="43" customFormat="1" x14ac:dyDescent="0.3">
      <c r="B244" s="40" t="s">
        <v>49</v>
      </c>
      <c r="C244" s="41">
        <v>38</v>
      </c>
      <c r="D244" s="125" t="str">
        <f xml:space="preserve"> IF(C244="","",setValueToTime(C244))</f>
        <v>3h 10 min</v>
      </c>
      <c r="E244" s="42"/>
      <c r="F244" s="181"/>
      <c r="G244" s="182"/>
      <c r="H244" s="152"/>
    </row>
    <row r="245" spans="2:8" s="43" customFormat="1" x14ac:dyDescent="0.3">
      <c r="B245" s="44" t="s">
        <v>44</v>
      </c>
      <c r="C245" s="45">
        <v>10</v>
      </c>
      <c r="D245" s="126" t="str">
        <f t="shared" ref="D245:D251" si="22" xml:space="preserve"> IF(C245="","",setValueToTime(C245))</f>
        <v xml:space="preserve"> 50 min</v>
      </c>
      <c r="E245" s="46"/>
      <c r="F245" s="173"/>
      <c r="G245" s="174"/>
      <c r="H245" s="152"/>
    </row>
    <row r="246" spans="2:8" s="43" customFormat="1" x14ac:dyDescent="0.3">
      <c r="B246" s="44"/>
      <c r="C246" s="45"/>
      <c r="D246" s="126" t="str">
        <f t="shared" si="22"/>
        <v/>
      </c>
      <c r="E246" s="46"/>
      <c r="F246" s="173"/>
      <c r="G246" s="174"/>
      <c r="H246" s="152"/>
    </row>
    <row r="247" spans="2:8" s="43" customFormat="1" x14ac:dyDescent="0.3">
      <c r="B247" s="44"/>
      <c r="C247" s="45"/>
      <c r="D247" s="126" t="str">
        <f t="shared" si="22"/>
        <v/>
      </c>
      <c r="E247" s="46"/>
      <c r="F247" s="173"/>
      <c r="G247" s="174"/>
      <c r="H247" s="152"/>
    </row>
    <row r="248" spans="2:8" s="43" customFormat="1" x14ac:dyDescent="0.3">
      <c r="B248" s="44"/>
      <c r="C248" s="45"/>
      <c r="D248" s="127" t="str">
        <f t="shared" si="22"/>
        <v/>
      </c>
      <c r="E248" s="46"/>
      <c r="F248" s="173"/>
      <c r="G248" s="174"/>
      <c r="H248" s="152"/>
    </row>
    <row r="249" spans="2:8" s="43" customFormat="1" x14ac:dyDescent="0.3">
      <c r="B249" s="44"/>
      <c r="C249" s="45"/>
      <c r="D249" s="127" t="str">
        <f t="shared" si="22"/>
        <v/>
      </c>
      <c r="E249" s="46"/>
      <c r="F249" s="173"/>
      <c r="G249" s="174"/>
      <c r="H249" s="152"/>
    </row>
    <row r="250" spans="2:8" s="43" customFormat="1" x14ac:dyDescent="0.3">
      <c r="B250" s="44"/>
      <c r="C250" s="45"/>
      <c r="D250" s="127" t="str">
        <f t="shared" si="22"/>
        <v/>
      </c>
      <c r="E250" s="46"/>
      <c r="F250" s="173"/>
      <c r="G250" s="174"/>
      <c r="H250" s="152"/>
    </row>
    <row r="251" spans="2:8" s="43" customFormat="1" ht="15" thickBot="1" x14ac:dyDescent="0.35">
      <c r="B251" s="44"/>
      <c r="C251" s="47"/>
      <c r="D251" s="128" t="str">
        <f t="shared" si="22"/>
        <v/>
      </c>
      <c r="E251" s="48"/>
      <c r="F251" s="175"/>
      <c r="G251" s="176"/>
      <c r="H251" s="152"/>
    </row>
    <row r="252" spans="2:8" s="43" customFormat="1" ht="15" thickBot="1" x14ac:dyDescent="0.35">
      <c r="B252" s="86" t="s">
        <v>40</v>
      </c>
      <c r="C252" s="67">
        <f>SUM(C244:C251)</f>
        <v>48</v>
      </c>
      <c r="D252" s="86" t="str">
        <f xml:space="preserve"> setValueToTime(C252)</f>
        <v>4h</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3" t="s">
        <v>38</v>
      </c>
      <c r="G255" s="224"/>
      <c r="H255" s="151"/>
    </row>
    <row r="256" spans="2:8" s="43" customFormat="1" x14ac:dyDescent="0.3">
      <c r="B256" s="40" t="s">
        <v>47</v>
      </c>
      <c r="C256" s="41">
        <v>35</v>
      </c>
      <c r="D256" s="125" t="str">
        <f xml:space="preserve"> IF(C256="","",setValueToTime(C256))</f>
        <v>2h 55 min</v>
      </c>
      <c r="E256" s="42"/>
      <c r="F256" s="181"/>
      <c r="G256" s="182"/>
      <c r="H256" s="152"/>
    </row>
    <row r="257" spans="2:8" s="43" customFormat="1" x14ac:dyDescent="0.3">
      <c r="B257" s="44" t="s">
        <v>29</v>
      </c>
      <c r="C257" s="45">
        <v>3</v>
      </c>
      <c r="D257" s="126" t="str">
        <f t="shared" ref="D257:D263" si="23" xml:space="preserve"> IF(C257="","",setValueToTime(C257))</f>
        <v xml:space="preserve"> 15 min</v>
      </c>
      <c r="E257" s="46"/>
      <c r="F257" s="173"/>
      <c r="G257" s="174"/>
      <c r="H257" s="152"/>
    </row>
    <row r="258" spans="2:8" s="43" customFormat="1" x14ac:dyDescent="0.3">
      <c r="B258" s="44"/>
      <c r="C258" s="45"/>
      <c r="D258" s="126" t="str">
        <f t="shared" si="23"/>
        <v/>
      </c>
      <c r="E258" s="46"/>
      <c r="F258" s="173"/>
      <c r="G258" s="174"/>
      <c r="H258" s="152"/>
    </row>
    <row r="259" spans="2:8" s="43" customFormat="1" x14ac:dyDescent="0.3">
      <c r="B259" s="44"/>
      <c r="C259" s="45"/>
      <c r="D259" s="126" t="str">
        <f t="shared" si="23"/>
        <v/>
      </c>
      <c r="E259" s="46"/>
      <c r="F259" s="173"/>
      <c r="G259" s="174"/>
      <c r="H259" s="152"/>
    </row>
    <row r="260" spans="2:8" s="43" customFormat="1" x14ac:dyDescent="0.3">
      <c r="B260" s="44"/>
      <c r="C260" s="45"/>
      <c r="D260" s="127" t="str">
        <f t="shared" si="23"/>
        <v/>
      </c>
      <c r="E260" s="46"/>
      <c r="F260" s="173"/>
      <c r="G260" s="174"/>
      <c r="H260" s="152"/>
    </row>
    <row r="261" spans="2:8" s="43" customFormat="1" x14ac:dyDescent="0.3">
      <c r="B261" s="44"/>
      <c r="C261" s="45"/>
      <c r="D261" s="127" t="str">
        <f t="shared" si="23"/>
        <v/>
      </c>
      <c r="E261" s="46"/>
      <c r="F261" s="173"/>
      <c r="G261" s="174"/>
      <c r="H261" s="152"/>
    </row>
    <row r="262" spans="2:8" s="43" customFormat="1" x14ac:dyDescent="0.3">
      <c r="B262" s="44"/>
      <c r="C262" s="45"/>
      <c r="D262" s="127" t="str">
        <f t="shared" si="23"/>
        <v/>
      </c>
      <c r="E262" s="46"/>
      <c r="F262" s="173"/>
      <c r="G262" s="174"/>
      <c r="H262" s="152"/>
    </row>
    <row r="263" spans="2:8" s="43" customFormat="1" ht="15" thickBot="1" x14ac:dyDescent="0.35">
      <c r="B263" s="44"/>
      <c r="C263" s="47"/>
      <c r="D263" s="128" t="str">
        <f t="shared" si="23"/>
        <v/>
      </c>
      <c r="E263" s="48"/>
      <c r="F263" s="175"/>
      <c r="G263" s="176"/>
      <c r="H263" s="152"/>
    </row>
    <row r="264" spans="2:8" s="43" customFormat="1" ht="15" thickBot="1" x14ac:dyDescent="0.35">
      <c r="B264" s="86" t="s">
        <v>40</v>
      </c>
      <c r="C264" s="67">
        <f>SUM(C256:C263)</f>
        <v>38</v>
      </c>
      <c r="D264" s="86" t="str">
        <f xml:space="preserve"> setValueToTime(C264)</f>
        <v>3h 10 min</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3" t="s">
        <v>38</v>
      </c>
      <c r="G267" s="224"/>
      <c r="H267" s="151"/>
    </row>
    <row r="268" spans="2:8" s="43" customFormat="1" x14ac:dyDescent="0.3">
      <c r="B268" s="40" t="s">
        <v>30</v>
      </c>
      <c r="C268" s="41">
        <v>10</v>
      </c>
      <c r="D268" s="125" t="str">
        <f xml:space="preserve"> IF(C268="","",setValueToTime(C268))</f>
        <v xml:space="preserve"> 50 min</v>
      </c>
      <c r="E268" s="42"/>
      <c r="F268" s="181"/>
      <c r="G268" s="182"/>
      <c r="H268" s="152"/>
    </row>
    <row r="269" spans="2:8" s="43" customFormat="1" ht="27" x14ac:dyDescent="0.3">
      <c r="B269" s="44" t="s">
        <v>50</v>
      </c>
      <c r="C269" s="45">
        <v>6</v>
      </c>
      <c r="D269" s="126" t="str">
        <f t="shared" ref="D269:D275" si="24" xml:space="preserve"> IF(C269="","",setValueToTime(C269))</f>
        <v xml:space="preserve"> 30 min</v>
      </c>
      <c r="E269" s="46"/>
      <c r="F269" s="173"/>
      <c r="G269" s="174"/>
      <c r="H269" s="152"/>
    </row>
    <row r="270" spans="2:8" s="43" customFormat="1" x14ac:dyDescent="0.3">
      <c r="B270" s="44" t="s">
        <v>51</v>
      </c>
      <c r="C270" s="45">
        <v>18</v>
      </c>
      <c r="D270" s="126" t="str">
        <f t="shared" si="24"/>
        <v>1h 30 min</v>
      </c>
      <c r="E270" s="46"/>
      <c r="F270" s="173"/>
      <c r="G270" s="174"/>
      <c r="H270" s="152"/>
    </row>
    <row r="271" spans="2:8" s="43" customFormat="1" x14ac:dyDescent="0.3">
      <c r="B271" s="44" t="s">
        <v>47</v>
      </c>
      <c r="C271" s="45">
        <v>14</v>
      </c>
      <c r="D271" s="126" t="str">
        <f t="shared" si="24"/>
        <v>1h 10 min</v>
      </c>
      <c r="E271" s="46"/>
      <c r="F271" s="173"/>
      <c r="G271" s="174"/>
      <c r="H271" s="152"/>
    </row>
    <row r="272" spans="2:8" s="43" customFormat="1" x14ac:dyDescent="0.3">
      <c r="B272" s="44"/>
      <c r="C272" s="45"/>
      <c r="D272" s="127" t="str">
        <f t="shared" si="24"/>
        <v/>
      </c>
      <c r="E272" s="46"/>
      <c r="F272" s="173"/>
      <c r="G272" s="174"/>
      <c r="H272" s="152"/>
    </row>
    <row r="273" spans="2:8" s="43" customFormat="1" x14ac:dyDescent="0.3">
      <c r="B273" s="44"/>
      <c r="C273" s="45"/>
      <c r="D273" s="127" t="str">
        <f t="shared" si="24"/>
        <v/>
      </c>
      <c r="E273" s="46"/>
      <c r="F273" s="173"/>
      <c r="G273" s="174"/>
      <c r="H273" s="152"/>
    </row>
    <row r="274" spans="2:8" s="43" customFormat="1" x14ac:dyDescent="0.3">
      <c r="B274" s="44"/>
      <c r="C274" s="45"/>
      <c r="D274" s="127" t="str">
        <f t="shared" si="24"/>
        <v/>
      </c>
      <c r="E274" s="46"/>
      <c r="F274" s="173"/>
      <c r="G274" s="174"/>
      <c r="H274" s="152"/>
    </row>
    <row r="275" spans="2:8" s="43" customFormat="1" ht="15" thickBot="1" x14ac:dyDescent="0.35">
      <c r="B275" s="44"/>
      <c r="C275" s="47"/>
      <c r="D275" s="128" t="str">
        <f t="shared" si="24"/>
        <v/>
      </c>
      <c r="E275" s="48"/>
      <c r="F275" s="175"/>
      <c r="G275" s="176"/>
      <c r="H275" s="152"/>
    </row>
    <row r="276" spans="2:8" s="43" customFormat="1" ht="15" thickBot="1" x14ac:dyDescent="0.35">
      <c r="B276" s="86" t="s">
        <v>40</v>
      </c>
      <c r="C276" s="67">
        <f>SUM(C268:C275)</f>
        <v>48</v>
      </c>
      <c r="D276" s="86" t="str">
        <f xml:space="preserve"> setValueToTime(C276)</f>
        <v>4h</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3" t="s">
        <v>38</v>
      </c>
      <c r="G279" s="224"/>
      <c r="H279" s="151"/>
    </row>
    <row r="280" spans="2:8" s="43" customFormat="1" ht="27" x14ac:dyDescent="0.3">
      <c r="B280" s="40" t="s">
        <v>73</v>
      </c>
      <c r="C280" s="41">
        <v>35</v>
      </c>
      <c r="D280" s="125" t="str">
        <f xml:space="preserve"> IF(C280="","",setValueToTime(C280))</f>
        <v>2h 55 min</v>
      </c>
      <c r="E280" s="42"/>
      <c r="F280" s="181"/>
      <c r="G280" s="182"/>
      <c r="H280" s="152"/>
    </row>
    <row r="281" spans="2:8" s="43" customFormat="1" x14ac:dyDescent="0.3">
      <c r="B281" s="44" t="s">
        <v>29</v>
      </c>
      <c r="C281" s="45">
        <v>3</v>
      </c>
      <c r="D281" s="126" t="str">
        <f t="shared" ref="D281:D287" si="25" xml:space="preserve"> IF(C281="","",setValueToTime(C281))</f>
        <v xml:space="preserve"> 15 min</v>
      </c>
      <c r="E281" s="46"/>
      <c r="F281" s="173"/>
      <c r="G281" s="174"/>
      <c r="H281" s="152"/>
    </row>
    <row r="282" spans="2:8" s="43" customFormat="1" x14ac:dyDescent="0.3">
      <c r="B282" s="44"/>
      <c r="C282" s="45"/>
      <c r="D282" s="126" t="str">
        <f t="shared" si="25"/>
        <v/>
      </c>
      <c r="E282" s="46"/>
      <c r="F282" s="173"/>
      <c r="G282" s="174"/>
      <c r="H282" s="152"/>
    </row>
    <row r="283" spans="2:8" s="43" customFormat="1" x14ac:dyDescent="0.3">
      <c r="B283" s="44"/>
      <c r="C283" s="45"/>
      <c r="D283" s="126" t="str">
        <f t="shared" si="25"/>
        <v/>
      </c>
      <c r="E283" s="46"/>
      <c r="F283" s="173"/>
      <c r="G283" s="174"/>
      <c r="H283" s="152"/>
    </row>
    <row r="284" spans="2:8" s="43" customFormat="1" x14ac:dyDescent="0.3">
      <c r="B284" s="44"/>
      <c r="C284" s="45"/>
      <c r="D284" s="127" t="str">
        <f t="shared" si="25"/>
        <v/>
      </c>
      <c r="E284" s="46"/>
      <c r="F284" s="173"/>
      <c r="G284" s="174"/>
      <c r="H284" s="152"/>
    </row>
    <row r="285" spans="2:8" s="43" customFormat="1" x14ac:dyDescent="0.3">
      <c r="B285" s="44"/>
      <c r="C285" s="45"/>
      <c r="D285" s="127" t="str">
        <f t="shared" si="25"/>
        <v/>
      </c>
      <c r="E285" s="46"/>
      <c r="F285" s="173"/>
      <c r="G285" s="174"/>
      <c r="H285" s="152"/>
    </row>
    <row r="286" spans="2:8" s="43" customFormat="1" x14ac:dyDescent="0.3">
      <c r="B286" s="44"/>
      <c r="C286" s="45"/>
      <c r="D286" s="127" t="str">
        <f t="shared" si="25"/>
        <v/>
      </c>
      <c r="E286" s="46"/>
      <c r="F286" s="173"/>
      <c r="G286" s="174"/>
      <c r="H286" s="152"/>
    </row>
    <row r="287" spans="2:8" s="43" customFormat="1" ht="15" thickBot="1" x14ac:dyDescent="0.35">
      <c r="B287" s="44"/>
      <c r="C287" s="47"/>
      <c r="D287" s="128" t="str">
        <f t="shared" si="25"/>
        <v/>
      </c>
      <c r="E287" s="48"/>
      <c r="F287" s="175"/>
      <c r="G287" s="176"/>
      <c r="H287" s="152"/>
    </row>
    <row r="288" spans="2:8" s="43" customFormat="1" ht="15" thickBot="1" x14ac:dyDescent="0.35">
      <c r="B288" s="86" t="s">
        <v>40</v>
      </c>
      <c r="C288" s="67">
        <f>SUM(C280:C287)</f>
        <v>38</v>
      </c>
      <c r="D288" s="86" t="str">
        <f xml:space="preserve"> setValueToTime(C288)</f>
        <v>3h 10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3" t="s">
        <v>38</v>
      </c>
      <c r="G291" s="224"/>
      <c r="H291" s="151"/>
    </row>
    <row r="292" spans="2:8" s="43" customFormat="1" x14ac:dyDescent="0.3">
      <c r="B292" s="40" t="s">
        <v>30</v>
      </c>
      <c r="C292" s="41">
        <v>12</v>
      </c>
      <c r="D292" s="125" t="str">
        <f xml:space="preserve"> IF(C292="","",setValueToTime(C292))</f>
        <v>1h</v>
      </c>
      <c r="E292" s="42"/>
      <c r="F292" s="181"/>
      <c r="G292" s="182"/>
      <c r="H292" s="152"/>
    </row>
    <row r="293" spans="2:8" s="43" customFormat="1" x14ac:dyDescent="0.3">
      <c r="B293" s="44" t="s">
        <v>43</v>
      </c>
      <c r="C293" s="45">
        <v>27</v>
      </c>
      <c r="D293" s="126" t="str">
        <f t="shared" ref="D293:D299" si="26" xml:space="preserve"> IF(C293="","",setValueToTime(C293))</f>
        <v>2h 15 min</v>
      </c>
      <c r="E293" s="46"/>
      <c r="F293" s="173"/>
      <c r="G293" s="174"/>
      <c r="H293" s="152"/>
    </row>
    <row r="294" spans="2:8" s="43" customFormat="1" ht="27" x14ac:dyDescent="0.3">
      <c r="B294" s="44" t="s">
        <v>73</v>
      </c>
      <c r="C294" s="45">
        <v>9</v>
      </c>
      <c r="D294" s="126" t="str">
        <f t="shared" si="26"/>
        <v xml:space="preserve"> 45 min</v>
      </c>
      <c r="E294" s="46"/>
      <c r="F294" s="173"/>
      <c r="G294" s="174"/>
      <c r="H294" s="152"/>
    </row>
    <row r="295" spans="2:8" s="43" customFormat="1" x14ac:dyDescent="0.3">
      <c r="B295" s="44"/>
      <c r="C295" s="45"/>
      <c r="D295" s="126" t="str">
        <f t="shared" si="26"/>
        <v/>
      </c>
      <c r="E295" s="46"/>
      <c r="F295" s="173"/>
      <c r="G295" s="174"/>
      <c r="H295" s="152"/>
    </row>
    <row r="296" spans="2:8" s="43" customFormat="1" x14ac:dyDescent="0.3">
      <c r="B296" s="44"/>
      <c r="C296" s="45"/>
      <c r="D296" s="127" t="str">
        <f t="shared" si="26"/>
        <v/>
      </c>
      <c r="E296" s="46"/>
      <c r="F296" s="173"/>
      <c r="G296" s="174"/>
      <c r="H296" s="152"/>
    </row>
    <row r="297" spans="2:8" s="43" customFormat="1" x14ac:dyDescent="0.3">
      <c r="B297" s="44"/>
      <c r="C297" s="45"/>
      <c r="D297" s="127" t="str">
        <f t="shared" si="26"/>
        <v/>
      </c>
      <c r="E297" s="46"/>
      <c r="F297" s="173"/>
      <c r="G297" s="174"/>
      <c r="H297" s="152"/>
    </row>
    <row r="298" spans="2:8" s="43" customFormat="1" x14ac:dyDescent="0.3">
      <c r="B298" s="44"/>
      <c r="C298" s="45"/>
      <c r="D298" s="127" t="str">
        <f t="shared" si="26"/>
        <v/>
      </c>
      <c r="E298" s="46"/>
      <c r="F298" s="173"/>
      <c r="G298" s="174"/>
      <c r="H298" s="152"/>
    </row>
    <row r="299" spans="2:8" s="43" customFormat="1" ht="15" thickBot="1" x14ac:dyDescent="0.35">
      <c r="B299" s="44"/>
      <c r="C299" s="47"/>
      <c r="D299" s="128" t="str">
        <f t="shared" si="26"/>
        <v/>
      </c>
      <c r="E299" s="48"/>
      <c r="F299" s="175"/>
      <c r="G299" s="176"/>
      <c r="H299" s="152"/>
    </row>
    <row r="300" spans="2:8" s="43" customFormat="1" ht="15" thickBot="1" x14ac:dyDescent="0.35">
      <c r="B300" s="86" t="s">
        <v>40</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3" t="s">
        <v>38</v>
      </c>
      <c r="G303" s="224"/>
      <c r="H303" s="151"/>
    </row>
    <row r="304" spans="2:8" s="43" customFormat="1" x14ac:dyDescent="0.3">
      <c r="B304" s="40" t="s">
        <v>28</v>
      </c>
      <c r="C304" s="41">
        <v>23</v>
      </c>
      <c r="D304" s="125" t="str">
        <f xml:space="preserve"> IF(C304="","",setValueToTime(C304))</f>
        <v>1h 55 min</v>
      </c>
      <c r="E304" s="42"/>
      <c r="F304" s="181"/>
      <c r="G304" s="182"/>
      <c r="H304" s="152"/>
    </row>
    <row r="305" spans="2:8" s="43" customFormat="1" x14ac:dyDescent="0.3">
      <c r="B305" s="44" t="s">
        <v>60</v>
      </c>
      <c r="C305" s="45">
        <v>4</v>
      </c>
      <c r="D305" s="126" t="str">
        <f t="shared" ref="D305:D311" si="27" xml:space="preserve"> IF(C305="","",setValueToTime(C305))</f>
        <v xml:space="preserve"> 20 min</v>
      </c>
      <c r="E305" s="46"/>
      <c r="F305" s="173"/>
      <c r="G305" s="174"/>
      <c r="H305" s="152"/>
    </row>
    <row r="306" spans="2:8" s="43" customFormat="1" x14ac:dyDescent="0.3">
      <c r="B306" s="44" t="s">
        <v>29</v>
      </c>
      <c r="C306" s="45">
        <v>2</v>
      </c>
      <c r="D306" s="126" t="str">
        <f t="shared" si="27"/>
        <v xml:space="preserve"> 10 min</v>
      </c>
      <c r="E306" s="46"/>
      <c r="F306" s="173"/>
      <c r="G306" s="174"/>
      <c r="H306" s="152"/>
    </row>
    <row r="307" spans="2:8" s="43" customFormat="1" x14ac:dyDescent="0.3">
      <c r="B307" s="44"/>
      <c r="C307" s="45"/>
      <c r="D307" s="126" t="str">
        <f t="shared" si="27"/>
        <v/>
      </c>
      <c r="E307" s="46"/>
      <c r="F307" s="173"/>
      <c r="G307" s="174"/>
      <c r="H307" s="152"/>
    </row>
    <row r="308" spans="2:8" s="43" customFormat="1" x14ac:dyDescent="0.3">
      <c r="B308" s="44"/>
      <c r="C308" s="45"/>
      <c r="D308" s="127" t="str">
        <f t="shared" si="27"/>
        <v/>
      </c>
      <c r="E308" s="46"/>
      <c r="F308" s="173"/>
      <c r="G308" s="174"/>
      <c r="H308" s="152"/>
    </row>
    <row r="309" spans="2:8" s="43" customFormat="1" x14ac:dyDescent="0.3">
      <c r="B309" s="44"/>
      <c r="C309" s="45"/>
      <c r="D309" s="127" t="str">
        <f t="shared" si="27"/>
        <v/>
      </c>
      <c r="E309" s="46"/>
      <c r="F309" s="173"/>
      <c r="G309" s="174"/>
      <c r="H309" s="152"/>
    </row>
    <row r="310" spans="2:8" s="43" customFormat="1" x14ac:dyDescent="0.3">
      <c r="B310" s="44"/>
      <c r="C310" s="45"/>
      <c r="D310" s="127" t="str">
        <f t="shared" si="27"/>
        <v/>
      </c>
      <c r="E310" s="46"/>
      <c r="F310" s="173"/>
      <c r="G310" s="174"/>
      <c r="H310" s="152"/>
    </row>
    <row r="311" spans="2:8" s="43" customFormat="1" ht="15" thickBot="1" x14ac:dyDescent="0.35">
      <c r="B311" s="44"/>
      <c r="C311" s="47"/>
      <c r="D311" s="128" t="str">
        <f t="shared" si="27"/>
        <v/>
      </c>
      <c r="E311" s="48"/>
      <c r="F311" s="175"/>
      <c r="G311" s="176"/>
      <c r="H311" s="152"/>
    </row>
    <row r="312" spans="2:8" s="43" customFormat="1" ht="15" thickBot="1" x14ac:dyDescent="0.35">
      <c r="B312" s="86" t="s">
        <v>40</v>
      </c>
      <c r="C312" s="67">
        <f>SUM(C304:C311)</f>
        <v>29</v>
      </c>
      <c r="D312" s="86" t="str">
        <f xml:space="preserve"> setValueToTime(C312)</f>
        <v>2h 25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3" t="s">
        <v>38</v>
      </c>
      <c r="G315" s="224"/>
      <c r="H315" s="151"/>
    </row>
    <row r="316" spans="2:8" s="43" customFormat="1" x14ac:dyDescent="0.3">
      <c r="B316" s="40" t="s">
        <v>61</v>
      </c>
      <c r="C316" s="41">
        <v>14</v>
      </c>
      <c r="D316" s="125" t="str">
        <f xml:space="preserve"> IF(C316="","",setValueToTime(C316))</f>
        <v>1h 10 min</v>
      </c>
      <c r="E316" s="42"/>
      <c r="F316" s="181"/>
      <c r="G316" s="182"/>
      <c r="H316" s="152"/>
    </row>
    <row r="317" spans="2:8" s="43" customFormat="1" x14ac:dyDescent="0.3">
      <c r="B317" s="44" t="s">
        <v>42</v>
      </c>
      <c r="C317" s="45">
        <v>6</v>
      </c>
      <c r="D317" s="126" t="str">
        <f t="shared" ref="D317:D323" si="28" xml:space="preserve"> IF(C317="","",setValueToTime(C317))</f>
        <v xml:space="preserve"> 30 min</v>
      </c>
      <c r="E317" s="46"/>
      <c r="F317" s="173"/>
      <c r="G317" s="174"/>
      <c r="H317" s="152"/>
    </row>
    <row r="318" spans="2:8" s="43" customFormat="1" x14ac:dyDescent="0.3">
      <c r="B318" s="44" t="s">
        <v>60</v>
      </c>
      <c r="C318" s="45">
        <v>2</v>
      </c>
      <c r="D318" s="126" t="str">
        <f t="shared" si="28"/>
        <v xml:space="preserve"> 10 min</v>
      </c>
      <c r="E318" s="46"/>
      <c r="F318" s="173"/>
      <c r="G318" s="174"/>
      <c r="H318" s="152"/>
    </row>
    <row r="319" spans="2:8" s="43" customFormat="1" x14ac:dyDescent="0.3">
      <c r="B319" s="44" t="s">
        <v>70</v>
      </c>
      <c r="C319" s="45">
        <v>2</v>
      </c>
      <c r="D319" s="127" t="str">
        <f t="shared" ref="D319" si="29" xml:space="preserve"> IF(C319="","",setValueToTime(C319))</f>
        <v xml:space="preserve"> 10 min</v>
      </c>
      <c r="E319" s="46"/>
      <c r="F319" s="173"/>
      <c r="G319" s="174"/>
      <c r="H319" s="152"/>
    </row>
    <row r="320" spans="2:8" s="43" customFormat="1" x14ac:dyDescent="0.3">
      <c r="B320" s="44" t="s">
        <v>28</v>
      </c>
      <c r="C320" s="45">
        <v>14</v>
      </c>
      <c r="D320" s="126" t="str">
        <f xml:space="preserve"> IF(C320="","",setValueToTime(C320))</f>
        <v>1h 10 min</v>
      </c>
      <c r="E320" s="46"/>
      <c r="F320" s="173"/>
      <c r="G320" s="174"/>
      <c r="H320" s="152"/>
    </row>
    <row r="321" spans="2:8" s="43" customFormat="1" x14ac:dyDescent="0.3">
      <c r="B321" s="44"/>
      <c r="C321" s="45"/>
      <c r="D321" s="126" t="str">
        <f xml:space="preserve"> IF(C321="","",setValueToTime(C321))</f>
        <v/>
      </c>
      <c r="E321" s="46"/>
      <c r="F321" s="173"/>
      <c r="G321" s="174"/>
      <c r="H321" s="152"/>
    </row>
    <row r="322" spans="2:8" s="43" customFormat="1" x14ac:dyDescent="0.3">
      <c r="B322" s="44"/>
      <c r="C322" s="45"/>
      <c r="D322" s="127" t="str">
        <f t="shared" si="28"/>
        <v/>
      </c>
      <c r="E322" s="46"/>
      <c r="F322" s="173"/>
      <c r="G322" s="174"/>
      <c r="H322" s="152"/>
    </row>
    <row r="323" spans="2:8" s="43" customFormat="1" ht="15" thickBot="1" x14ac:dyDescent="0.35">
      <c r="B323" s="44"/>
      <c r="C323" s="47"/>
      <c r="D323" s="128" t="str">
        <f t="shared" si="28"/>
        <v/>
      </c>
      <c r="E323" s="48"/>
      <c r="F323" s="175"/>
      <c r="G323" s="176"/>
      <c r="H323" s="152"/>
    </row>
    <row r="324" spans="2:8" s="43" customFormat="1" ht="15" thickBot="1" x14ac:dyDescent="0.35">
      <c r="B324" s="86" t="s">
        <v>40</v>
      </c>
      <c r="C324" s="67">
        <f>SUM(C316:C323)</f>
        <v>38</v>
      </c>
      <c r="D324" s="86" t="str">
        <f xml:space="preserve"> setValueToTime(C324)</f>
        <v>3h 10 min</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221" activePane="bottomLeft" state="frozen"/>
      <selection pane="bottomLeft" activeCell="E233" sqref="E233"/>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9" t="s">
        <v>38</v>
      </c>
      <c r="G3" s="180"/>
      <c r="H3" s="151"/>
    </row>
    <row r="4" spans="2:8" s="43" customFormat="1" x14ac:dyDescent="0.3">
      <c r="B4" s="40"/>
      <c r="C4" s="41"/>
      <c r="D4" s="125" t="str">
        <f xml:space="preserve"> IF(C4="","",setValueToTime(C4))</f>
        <v/>
      </c>
      <c r="E4" s="42"/>
      <c r="F4" s="181"/>
      <c r="G4" s="182"/>
      <c r="H4" s="152"/>
    </row>
    <row r="5" spans="2:8" s="43" customFormat="1" x14ac:dyDescent="0.3">
      <c r="B5" s="44"/>
      <c r="C5" s="45"/>
      <c r="D5" s="126" t="str">
        <f t="shared" ref="D5:D11" si="0" xml:space="preserve"> IF(C5="","",setValueToTime(C5))</f>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6"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x14ac:dyDescent="0.3">
      <c r="B10" s="45"/>
      <c r="C10" s="45"/>
      <c r="D10" s="127" t="str">
        <f t="shared" si="0"/>
        <v/>
      </c>
      <c r="E10" s="46"/>
      <c r="F10" s="173"/>
      <c r="G10" s="174"/>
      <c r="H10" s="152"/>
    </row>
    <row r="11" spans="2:8" s="43" customFormat="1" ht="15" thickBot="1" x14ac:dyDescent="0.35">
      <c r="B11" s="47"/>
      <c r="C11" s="47"/>
      <c r="D11" s="128" t="str">
        <f t="shared" si="0"/>
        <v/>
      </c>
      <c r="E11" s="48"/>
      <c r="F11" s="175"/>
      <c r="G11" s="176"/>
      <c r="H11" s="152"/>
    </row>
    <row r="12" spans="2:8" s="43" customFormat="1" ht="15" thickBot="1" x14ac:dyDescent="0.35">
      <c r="B12" s="135" t="s">
        <v>40</v>
      </c>
      <c r="C12" s="66">
        <f>SUM(C4:C11)</f>
        <v>0</v>
      </c>
      <c r="D12" s="135" t="str">
        <f xml:space="preserve"> setValueToTime(C12)</f>
        <v/>
      </c>
      <c r="E12" s="96"/>
      <c r="F12" s="177"/>
      <c r="G12" s="178"/>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9" t="s">
        <v>38</v>
      </c>
      <c r="G15" s="180"/>
      <c r="H15" s="151"/>
    </row>
    <row r="16" spans="2:8" s="43" customFormat="1" x14ac:dyDescent="0.3">
      <c r="B16" s="40"/>
      <c r="C16" s="41"/>
      <c r="D16" s="125" t="str">
        <f xml:space="preserve"> IF(C16="","",setValueToTime(C16))</f>
        <v/>
      </c>
      <c r="E16" s="42"/>
      <c r="F16" s="181"/>
      <c r="G16" s="182"/>
      <c r="H16" s="152"/>
    </row>
    <row r="17" spans="2:8" s="43" customFormat="1" x14ac:dyDescent="0.3">
      <c r="B17" s="44"/>
      <c r="C17" s="45"/>
      <c r="D17" s="126" t="str">
        <f t="shared" ref="D17:D23" si="1" xml:space="preserve"> IF(C17="","",setValueToTime(C17))</f>
        <v/>
      </c>
      <c r="E17" s="46"/>
      <c r="F17" s="173"/>
      <c r="G17" s="174"/>
      <c r="H17" s="152"/>
    </row>
    <row r="18" spans="2:8" s="43" customFormat="1" x14ac:dyDescent="0.3">
      <c r="B18" s="44"/>
      <c r="C18" s="45"/>
      <c r="D18" s="126" t="str">
        <f t="shared" si="1"/>
        <v/>
      </c>
      <c r="E18" s="46"/>
      <c r="F18" s="173"/>
      <c r="G18" s="174"/>
      <c r="H18" s="152"/>
    </row>
    <row r="19" spans="2:8" s="43" customFormat="1" x14ac:dyDescent="0.3">
      <c r="B19" s="44"/>
      <c r="C19" s="45"/>
      <c r="D19" s="126" t="str">
        <f t="shared" si="1"/>
        <v/>
      </c>
      <c r="E19" s="46"/>
      <c r="F19" s="173"/>
      <c r="G19" s="174"/>
      <c r="H19" s="152"/>
    </row>
    <row r="20" spans="2:8" s="43" customFormat="1" x14ac:dyDescent="0.3">
      <c r="B20" s="45"/>
      <c r="C20" s="45"/>
      <c r="D20" s="127" t="str">
        <f t="shared" si="1"/>
        <v/>
      </c>
      <c r="E20" s="46"/>
      <c r="F20" s="173"/>
      <c r="G20" s="174"/>
      <c r="H20" s="152"/>
    </row>
    <row r="21" spans="2:8" s="43" customFormat="1" x14ac:dyDescent="0.3">
      <c r="B21" s="45"/>
      <c r="C21" s="45"/>
      <c r="D21" s="127" t="str">
        <f t="shared" si="1"/>
        <v/>
      </c>
      <c r="E21" s="46"/>
      <c r="F21" s="173"/>
      <c r="G21" s="174"/>
      <c r="H21" s="152"/>
    </row>
    <row r="22" spans="2:8" s="43" customFormat="1" x14ac:dyDescent="0.3">
      <c r="B22" s="45"/>
      <c r="C22" s="45"/>
      <c r="D22" s="127" t="str">
        <f t="shared" si="1"/>
        <v/>
      </c>
      <c r="E22" s="46"/>
      <c r="F22" s="173"/>
      <c r="G22" s="174"/>
      <c r="H22" s="152"/>
    </row>
    <row r="23" spans="2:8" s="43" customFormat="1" ht="15" thickBot="1" x14ac:dyDescent="0.35">
      <c r="B23" s="47"/>
      <c r="C23" s="47"/>
      <c r="D23" s="128" t="str">
        <f t="shared" si="1"/>
        <v/>
      </c>
      <c r="E23" s="48"/>
      <c r="F23" s="175"/>
      <c r="G23" s="176"/>
      <c r="H23" s="152"/>
    </row>
    <row r="24" spans="2:8" s="43" customFormat="1" ht="15" thickBot="1" x14ac:dyDescent="0.35">
      <c r="B24" s="135" t="s">
        <v>40</v>
      </c>
      <c r="C24" s="66">
        <f>SUM(C16:C23)</f>
        <v>0</v>
      </c>
      <c r="D24" s="135" t="str">
        <f xml:space="preserve"> setValueToTime(C24)</f>
        <v/>
      </c>
      <c r="E24" s="96"/>
      <c r="F24" s="177"/>
      <c r="G24" s="178"/>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9" t="s">
        <v>38</v>
      </c>
      <c r="G27" s="180"/>
      <c r="H27" s="151"/>
    </row>
    <row r="28" spans="2:8" s="43" customFormat="1" x14ac:dyDescent="0.3">
      <c r="B28" s="40"/>
      <c r="C28" s="41"/>
      <c r="D28" s="125" t="str">
        <f xml:space="preserve"> IF(C28="","",setValueToTime(C28))</f>
        <v/>
      </c>
      <c r="E28" s="42"/>
      <c r="F28" s="181"/>
      <c r="G28" s="182"/>
      <c r="H28" s="152"/>
    </row>
    <row r="29" spans="2:8" s="43" customFormat="1" x14ac:dyDescent="0.3">
      <c r="B29" s="44"/>
      <c r="C29" s="45"/>
      <c r="D29" s="126" t="str">
        <f t="shared" ref="D29:D35" si="2" xml:space="preserve"> IF(C29="","",setValueToTime(C29))</f>
        <v/>
      </c>
      <c r="E29" s="46"/>
      <c r="F29" s="173"/>
      <c r="G29" s="174"/>
      <c r="H29" s="152"/>
    </row>
    <row r="30" spans="2:8" s="43" customFormat="1" x14ac:dyDescent="0.3">
      <c r="B30" s="44"/>
      <c r="C30" s="45"/>
      <c r="D30" s="126" t="str">
        <f t="shared" si="2"/>
        <v/>
      </c>
      <c r="E30" s="46"/>
      <c r="F30" s="173"/>
      <c r="G30" s="174"/>
      <c r="H30" s="152"/>
    </row>
    <row r="31" spans="2:8" s="43" customFormat="1" x14ac:dyDescent="0.3">
      <c r="B31" s="44"/>
      <c r="C31" s="45"/>
      <c r="D31" s="126" t="str">
        <f t="shared" si="2"/>
        <v/>
      </c>
      <c r="E31" s="46"/>
      <c r="F31" s="173"/>
      <c r="G31" s="174"/>
      <c r="H31" s="152"/>
    </row>
    <row r="32" spans="2:8" s="43" customFormat="1" x14ac:dyDescent="0.3">
      <c r="B32" s="45"/>
      <c r="C32" s="45"/>
      <c r="D32" s="127" t="str">
        <f t="shared" si="2"/>
        <v/>
      </c>
      <c r="E32" s="46"/>
      <c r="F32" s="173"/>
      <c r="G32" s="174"/>
      <c r="H32" s="152"/>
    </row>
    <row r="33" spans="2:8" s="43" customFormat="1" x14ac:dyDescent="0.3">
      <c r="B33" s="45"/>
      <c r="C33" s="45"/>
      <c r="D33" s="127" t="str">
        <f t="shared" si="2"/>
        <v/>
      </c>
      <c r="E33" s="46"/>
      <c r="F33" s="173"/>
      <c r="G33" s="174"/>
      <c r="H33" s="152"/>
    </row>
    <row r="34" spans="2:8" s="43" customFormat="1" x14ac:dyDescent="0.3">
      <c r="B34" s="45"/>
      <c r="C34" s="45"/>
      <c r="D34" s="127" t="str">
        <f t="shared" si="2"/>
        <v/>
      </c>
      <c r="E34" s="46"/>
      <c r="F34" s="173"/>
      <c r="G34" s="174"/>
      <c r="H34" s="152"/>
    </row>
    <row r="35" spans="2:8" s="43" customFormat="1" ht="15" thickBot="1" x14ac:dyDescent="0.35">
      <c r="B35" s="47"/>
      <c r="C35" s="47"/>
      <c r="D35" s="128" t="str">
        <f t="shared" si="2"/>
        <v/>
      </c>
      <c r="E35" s="48"/>
      <c r="F35" s="175"/>
      <c r="G35" s="176"/>
      <c r="H35" s="152"/>
    </row>
    <row r="36" spans="2:8" s="43" customFormat="1" ht="15" thickBot="1" x14ac:dyDescent="0.35">
      <c r="B36" s="135" t="s">
        <v>40</v>
      </c>
      <c r="C36" s="66">
        <f>SUM(C28:C35)</f>
        <v>0</v>
      </c>
      <c r="D36" s="135" t="str">
        <f xml:space="preserve"> setValueToTime(C36)</f>
        <v/>
      </c>
      <c r="E36" s="96"/>
      <c r="F36" s="177"/>
      <c r="G36" s="178"/>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9" t="s">
        <v>38</v>
      </c>
      <c r="G39" s="180"/>
      <c r="H39" s="151"/>
    </row>
    <row r="40" spans="2:8" s="43" customFormat="1" x14ac:dyDescent="0.3">
      <c r="B40" s="40"/>
      <c r="C40" s="41"/>
      <c r="D40" s="125" t="str">
        <f xml:space="preserve"> IF(C40="","",setValueToTime(C40))</f>
        <v/>
      </c>
      <c r="E40" s="42"/>
      <c r="F40" s="181"/>
      <c r="G40" s="182"/>
      <c r="H40" s="152"/>
    </row>
    <row r="41" spans="2:8" s="43" customFormat="1" x14ac:dyDescent="0.3">
      <c r="B41" s="44"/>
      <c r="C41" s="45"/>
      <c r="D41" s="126" t="str">
        <f t="shared" ref="D41:D47" si="3" xml:space="preserve"> IF(C41="","",setValueToTime(C41))</f>
        <v/>
      </c>
      <c r="E41" s="46"/>
      <c r="F41" s="173"/>
      <c r="G41" s="174"/>
      <c r="H41" s="152"/>
    </row>
    <row r="42" spans="2:8" s="43" customFormat="1" x14ac:dyDescent="0.3">
      <c r="B42" s="44"/>
      <c r="C42" s="45"/>
      <c r="D42" s="126" t="str">
        <f t="shared" si="3"/>
        <v/>
      </c>
      <c r="E42" s="46"/>
      <c r="F42" s="173"/>
      <c r="G42" s="174"/>
      <c r="H42" s="152"/>
    </row>
    <row r="43" spans="2:8" s="43" customFormat="1" x14ac:dyDescent="0.3">
      <c r="B43" s="44"/>
      <c r="C43" s="45"/>
      <c r="D43" s="126" t="str">
        <f t="shared" si="3"/>
        <v/>
      </c>
      <c r="E43" s="46"/>
      <c r="F43" s="173"/>
      <c r="G43" s="174"/>
      <c r="H43" s="152"/>
    </row>
    <row r="44" spans="2:8" s="43" customFormat="1" x14ac:dyDescent="0.3">
      <c r="B44" s="45"/>
      <c r="C44" s="45"/>
      <c r="D44" s="127" t="str">
        <f t="shared" si="3"/>
        <v/>
      </c>
      <c r="E44" s="46"/>
      <c r="F44" s="173"/>
      <c r="G44" s="174"/>
      <c r="H44" s="152"/>
    </row>
    <row r="45" spans="2:8" s="43" customFormat="1" x14ac:dyDescent="0.3">
      <c r="B45" s="45"/>
      <c r="C45" s="45"/>
      <c r="D45" s="127" t="str">
        <f t="shared" si="3"/>
        <v/>
      </c>
      <c r="E45" s="46"/>
      <c r="F45" s="173"/>
      <c r="G45" s="174"/>
      <c r="H45" s="152"/>
    </row>
    <row r="46" spans="2:8" s="43" customFormat="1" x14ac:dyDescent="0.3">
      <c r="B46" s="45"/>
      <c r="C46" s="45"/>
      <c r="D46" s="127" t="str">
        <f t="shared" si="3"/>
        <v/>
      </c>
      <c r="E46" s="46"/>
      <c r="F46" s="173"/>
      <c r="G46" s="174"/>
      <c r="H46" s="152"/>
    </row>
    <row r="47" spans="2:8" s="43" customFormat="1" ht="15" thickBot="1" x14ac:dyDescent="0.35">
      <c r="B47" s="47"/>
      <c r="C47" s="47"/>
      <c r="D47" s="128" t="str">
        <f t="shared" si="3"/>
        <v/>
      </c>
      <c r="E47" s="48"/>
      <c r="F47" s="175"/>
      <c r="G47" s="176"/>
      <c r="H47" s="152"/>
    </row>
    <row r="48" spans="2:8" s="43" customFormat="1" ht="15" thickBot="1" x14ac:dyDescent="0.35">
      <c r="B48" s="135" t="s">
        <v>40</v>
      </c>
      <c r="C48" s="66">
        <f>SUM(C40:C47)</f>
        <v>0</v>
      </c>
      <c r="D48" s="135" t="str">
        <f xml:space="preserve"> setValueToTime(C48)</f>
        <v/>
      </c>
      <c r="E48" s="96"/>
      <c r="F48" s="177"/>
      <c r="G48" s="178"/>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9" t="s">
        <v>38</v>
      </c>
      <c r="G51" s="180"/>
      <c r="H51" s="151"/>
    </row>
    <row r="52" spans="2:8" s="43" customFormat="1" x14ac:dyDescent="0.3">
      <c r="B52" s="40"/>
      <c r="C52" s="41"/>
      <c r="D52" s="125" t="str">
        <f xml:space="preserve"> IF(C52="","",setValueToTime(C52))</f>
        <v/>
      </c>
      <c r="E52" s="42"/>
      <c r="F52" s="181"/>
      <c r="G52" s="182"/>
      <c r="H52" s="152"/>
    </row>
    <row r="53" spans="2:8" s="43" customFormat="1" x14ac:dyDescent="0.3">
      <c r="B53" s="44"/>
      <c r="C53" s="45"/>
      <c r="D53" s="126" t="str">
        <f t="shared" ref="D53:D59" si="4" xml:space="preserve"> IF(C53="","",setValueToTime(C53))</f>
        <v/>
      </c>
      <c r="E53" s="46"/>
      <c r="F53" s="173"/>
      <c r="G53" s="174"/>
      <c r="H53" s="152"/>
    </row>
    <row r="54" spans="2:8" s="43" customFormat="1" x14ac:dyDescent="0.3">
      <c r="B54" s="44"/>
      <c r="C54" s="45"/>
      <c r="D54" s="126" t="str">
        <f t="shared" si="4"/>
        <v/>
      </c>
      <c r="E54" s="46"/>
      <c r="F54" s="173"/>
      <c r="G54" s="174"/>
      <c r="H54" s="152"/>
    </row>
    <row r="55" spans="2:8" s="43" customFormat="1" x14ac:dyDescent="0.3">
      <c r="B55" s="44"/>
      <c r="C55" s="45"/>
      <c r="D55" s="126" t="str">
        <f t="shared" si="4"/>
        <v/>
      </c>
      <c r="E55" s="46"/>
      <c r="F55" s="173"/>
      <c r="G55" s="174"/>
      <c r="H55" s="152"/>
    </row>
    <row r="56" spans="2:8" s="43" customFormat="1" x14ac:dyDescent="0.3">
      <c r="B56" s="45"/>
      <c r="C56" s="45"/>
      <c r="D56" s="127" t="str">
        <f t="shared" si="4"/>
        <v/>
      </c>
      <c r="E56" s="46"/>
      <c r="F56" s="173"/>
      <c r="G56" s="174"/>
      <c r="H56" s="152"/>
    </row>
    <row r="57" spans="2:8" s="43" customFormat="1" x14ac:dyDescent="0.3">
      <c r="B57" s="45"/>
      <c r="C57" s="45"/>
      <c r="D57" s="127" t="str">
        <f t="shared" si="4"/>
        <v/>
      </c>
      <c r="E57" s="46"/>
      <c r="F57" s="173"/>
      <c r="G57" s="174"/>
      <c r="H57" s="152"/>
    </row>
    <row r="58" spans="2:8" s="43" customFormat="1" x14ac:dyDescent="0.3">
      <c r="B58" s="45"/>
      <c r="C58" s="45"/>
      <c r="D58" s="127" t="str">
        <f t="shared" si="4"/>
        <v/>
      </c>
      <c r="E58" s="46"/>
      <c r="F58" s="173"/>
      <c r="G58" s="174"/>
      <c r="H58" s="152"/>
    </row>
    <row r="59" spans="2:8" s="43" customFormat="1" ht="15" thickBot="1" x14ac:dyDescent="0.35">
      <c r="B59" s="47"/>
      <c r="C59" s="47"/>
      <c r="D59" s="128" t="str">
        <f t="shared" si="4"/>
        <v/>
      </c>
      <c r="E59" s="48"/>
      <c r="F59" s="175"/>
      <c r="G59" s="176"/>
      <c r="H59" s="152"/>
    </row>
    <row r="60" spans="2:8" s="43" customFormat="1" ht="15" thickBot="1" x14ac:dyDescent="0.35">
      <c r="B60" s="135" t="s">
        <v>40</v>
      </c>
      <c r="C60" s="66">
        <f>SUM(C52:C59)</f>
        <v>0</v>
      </c>
      <c r="D60" s="135" t="str">
        <f xml:space="preserve"> setValueToTime(C60)</f>
        <v/>
      </c>
      <c r="E60" s="96"/>
      <c r="F60" s="177"/>
      <c r="G60" s="178"/>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9" t="s">
        <v>38</v>
      </c>
      <c r="G63" s="180"/>
      <c r="H63" s="151"/>
    </row>
    <row r="64" spans="2:8" s="43" customFormat="1" x14ac:dyDescent="0.3">
      <c r="B64" s="40"/>
      <c r="C64" s="41"/>
      <c r="D64" s="125" t="str">
        <f xml:space="preserve"> IF(C64="","",setValueToTime(C64))</f>
        <v/>
      </c>
      <c r="E64" s="42"/>
      <c r="F64" s="181"/>
      <c r="G64" s="182"/>
      <c r="H64" s="152"/>
    </row>
    <row r="65" spans="2:8" s="43" customFormat="1" x14ac:dyDescent="0.3">
      <c r="B65" s="44"/>
      <c r="C65" s="45"/>
      <c r="D65" s="126" t="str">
        <f t="shared" ref="D65:D71" si="5" xml:space="preserve"> IF(C65="","",setValueToTime(C65))</f>
        <v/>
      </c>
      <c r="E65" s="46"/>
      <c r="F65" s="173"/>
      <c r="G65" s="174"/>
      <c r="H65" s="152"/>
    </row>
    <row r="66" spans="2:8" s="43" customFormat="1" x14ac:dyDescent="0.3">
      <c r="B66" s="44"/>
      <c r="C66" s="45"/>
      <c r="D66" s="126" t="str">
        <f t="shared" si="5"/>
        <v/>
      </c>
      <c r="E66" s="46"/>
      <c r="F66" s="173"/>
      <c r="G66" s="174"/>
      <c r="H66" s="152"/>
    </row>
    <row r="67" spans="2:8" s="43" customFormat="1" x14ac:dyDescent="0.3">
      <c r="B67" s="44"/>
      <c r="C67" s="45"/>
      <c r="D67" s="126" t="str">
        <f t="shared" si="5"/>
        <v/>
      </c>
      <c r="E67" s="46"/>
      <c r="F67" s="173"/>
      <c r="G67" s="174"/>
      <c r="H67" s="152"/>
    </row>
    <row r="68" spans="2:8" s="43" customFormat="1" x14ac:dyDescent="0.3">
      <c r="B68" s="45"/>
      <c r="C68" s="45"/>
      <c r="D68" s="127" t="str">
        <f t="shared" si="5"/>
        <v/>
      </c>
      <c r="E68" s="46"/>
      <c r="F68" s="173"/>
      <c r="G68" s="174"/>
      <c r="H68" s="152"/>
    </row>
    <row r="69" spans="2:8" s="43" customFormat="1" x14ac:dyDescent="0.3">
      <c r="B69" s="45"/>
      <c r="C69" s="45"/>
      <c r="D69" s="127" t="str">
        <f t="shared" si="5"/>
        <v/>
      </c>
      <c r="E69" s="46"/>
      <c r="F69" s="173"/>
      <c r="G69" s="174"/>
      <c r="H69" s="152"/>
    </row>
    <row r="70" spans="2:8" s="43" customFormat="1" x14ac:dyDescent="0.3">
      <c r="B70" s="45"/>
      <c r="C70" s="45"/>
      <c r="D70" s="127" t="str">
        <f t="shared" si="5"/>
        <v/>
      </c>
      <c r="E70" s="46"/>
      <c r="F70" s="173"/>
      <c r="G70" s="174"/>
      <c r="H70" s="152"/>
    </row>
    <row r="71" spans="2:8" s="43" customFormat="1" ht="15" thickBot="1" x14ac:dyDescent="0.35">
      <c r="B71" s="47"/>
      <c r="C71" s="47"/>
      <c r="D71" s="128" t="str">
        <f t="shared" si="5"/>
        <v/>
      </c>
      <c r="E71" s="48"/>
      <c r="F71" s="175"/>
      <c r="G71" s="176"/>
      <c r="H71" s="152"/>
    </row>
    <row r="72" spans="2:8" s="43" customFormat="1" ht="15" thickBot="1" x14ac:dyDescent="0.35">
      <c r="B72" s="135" t="s">
        <v>40</v>
      </c>
      <c r="C72" s="66">
        <f>SUM(C64:C71)</f>
        <v>0</v>
      </c>
      <c r="D72" s="135" t="str">
        <f xml:space="preserve"> setValueToTime(C72)</f>
        <v/>
      </c>
      <c r="E72" s="96"/>
      <c r="F72" s="177"/>
      <c r="G72" s="178"/>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9" t="s">
        <v>38</v>
      </c>
      <c r="G75" s="180"/>
      <c r="H75" s="151"/>
    </row>
    <row r="76" spans="2:8" s="43" customFormat="1" x14ac:dyDescent="0.3">
      <c r="B76" s="40"/>
      <c r="C76" s="41"/>
      <c r="D76" s="125" t="str">
        <f xml:space="preserve"> IF(C76="","",setValueToTime(C76))</f>
        <v/>
      </c>
      <c r="E76" s="42"/>
      <c r="F76" s="181"/>
      <c r="G76" s="182"/>
      <c r="H76" s="152"/>
    </row>
    <row r="77" spans="2:8" s="43" customFormat="1" x14ac:dyDescent="0.3">
      <c r="B77" s="44"/>
      <c r="C77" s="45"/>
      <c r="D77" s="126" t="str">
        <f t="shared" ref="D77:D83" si="6" xml:space="preserve"> IF(C77="","",setValueToTime(C77))</f>
        <v/>
      </c>
      <c r="E77" s="46"/>
      <c r="F77" s="173"/>
      <c r="G77" s="174"/>
      <c r="H77" s="152"/>
    </row>
    <row r="78" spans="2:8" s="43" customFormat="1" x14ac:dyDescent="0.3">
      <c r="B78" s="44"/>
      <c r="C78" s="45"/>
      <c r="D78" s="126" t="str">
        <f t="shared" si="6"/>
        <v/>
      </c>
      <c r="E78" s="46"/>
      <c r="F78" s="173"/>
      <c r="G78" s="174"/>
      <c r="H78" s="152"/>
    </row>
    <row r="79" spans="2:8" s="43" customFormat="1" x14ac:dyDescent="0.3">
      <c r="B79" s="44"/>
      <c r="C79" s="45"/>
      <c r="D79" s="126" t="str">
        <f t="shared" si="6"/>
        <v/>
      </c>
      <c r="E79" s="46"/>
      <c r="F79" s="173"/>
      <c r="G79" s="174"/>
      <c r="H79" s="152"/>
    </row>
    <row r="80" spans="2:8" s="43" customFormat="1" x14ac:dyDescent="0.3">
      <c r="B80" s="45"/>
      <c r="C80" s="45"/>
      <c r="D80" s="127" t="str">
        <f t="shared" si="6"/>
        <v/>
      </c>
      <c r="E80" s="46"/>
      <c r="F80" s="173"/>
      <c r="G80" s="174"/>
      <c r="H80" s="152"/>
    </row>
    <row r="81" spans="2:8" s="43" customFormat="1" x14ac:dyDescent="0.3">
      <c r="B81" s="45"/>
      <c r="C81" s="45"/>
      <c r="D81" s="127" t="str">
        <f t="shared" si="6"/>
        <v/>
      </c>
      <c r="E81" s="46"/>
      <c r="F81" s="173"/>
      <c r="G81" s="174"/>
      <c r="H81" s="152"/>
    </row>
    <row r="82" spans="2:8" s="43" customFormat="1" x14ac:dyDescent="0.3">
      <c r="B82" s="45"/>
      <c r="C82" s="45"/>
      <c r="D82" s="127" t="str">
        <f t="shared" si="6"/>
        <v/>
      </c>
      <c r="E82" s="46"/>
      <c r="F82" s="173"/>
      <c r="G82" s="174"/>
      <c r="H82" s="152"/>
    </row>
    <row r="83" spans="2:8" s="43" customFormat="1" ht="15" thickBot="1" x14ac:dyDescent="0.35">
      <c r="B83" s="47"/>
      <c r="C83" s="47"/>
      <c r="D83" s="128" t="str">
        <f t="shared" si="6"/>
        <v/>
      </c>
      <c r="E83" s="48"/>
      <c r="F83" s="175"/>
      <c r="G83" s="176"/>
      <c r="H83" s="152"/>
    </row>
    <row r="84" spans="2:8" s="43" customFormat="1" ht="15" thickBot="1" x14ac:dyDescent="0.35">
      <c r="B84" s="135" t="s">
        <v>40</v>
      </c>
      <c r="C84" s="66">
        <f>SUM(C76:C83)</f>
        <v>0</v>
      </c>
      <c r="D84" s="135" t="str">
        <f xml:space="preserve"> setValueToTime(C84)</f>
        <v/>
      </c>
      <c r="E84" s="96"/>
      <c r="F84" s="177"/>
      <c r="G84" s="178"/>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9" t="s">
        <v>38</v>
      </c>
      <c r="G87" s="180"/>
      <c r="H87" s="151"/>
    </row>
    <row r="88" spans="2:8" s="43" customFormat="1" x14ac:dyDescent="0.3">
      <c r="B88" s="40"/>
      <c r="C88" s="41"/>
      <c r="D88" s="125" t="str">
        <f xml:space="preserve"> IF(C88="","",setValueToTime(C88))</f>
        <v/>
      </c>
      <c r="E88" s="42"/>
      <c r="F88" s="181"/>
      <c r="G88" s="182"/>
      <c r="H88" s="152"/>
    </row>
    <row r="89" spans="2:8" s="43" customFormat="1" x14ac:dyDescent="0.3">
      <c r="B89" s="44"/>
      <c r="C89" s="45"/>
      <c r="D89" s="126" t="str">
        <f t="shared" ref="D89:D95" si="7" xml:space="preserve"> IF(C89="","",setValueToTime(C89))</f>
        <v/>
      </c>
      <c r="E89" s="46"/>
      <c r="F89" s="173"/>
      <c r="G89" s="174"/>
      <c r="H89" s="152"/>
    </row>
    <row r="90" spans="2:8" s="43" customFormat="1" x14ac:dyDescent="0.3">
      <c r="B90" s="44"/>
      <c r="C90" s="45"/>
      <c r="D90" s="126" t="str">
        <f t="shared" si="7"/>
        <v/>
      </c>
      <c r="E90" s="46"/>
      <c r="F90" s="173"/>
      <c r="G90" s="174"/>
      <c r="H90" s="152"/>
    </row>
    <row r="91" spans="2:8" s="43" customFormat="1" x14ac:dyDescent="0.3">
      <c r="B91" s="44"/>
      <c r="C91" s="45"/>
      <c r="D91" s="126" t="str">
        <f t="shared" si="7"/>
        <v/>
      </c>
      <c r="E91" s="46"/>
      <c r="F91" s="173"/>
      <c r="G91" s="174"/>
      <c r="H91" s="152"/>
    </row>
    <row r="92" spans="2:8" s="43" customFormat="1" x14ac:dyDescent="0.3">
      <c r="B92" s="45"/>
      <c r="C92" s="45"/>
      <c r="D92" s="127" t="str">
        <f t="shared" si="7"/>
        <v/>
      </c>
      <c r="E92" s="46"/>
      <c r="F92" s="173"/>
      <c r="G92" s="174"/>
      <c r="H92" s="152"/>
    </row>
    <row r="93" spans="2:8" s="43" customFormat="1" x14ac:dyDescent="0.3">
      <c r="B93" s="45"/>
      <c r="C93" s="45"/>
      <c r="D93" s="127" t="str">
        <f t="shared" si="7"/>
        <v/>
      </c>
      <c r="E93" s="46"/>
      <c r="F93" s="173"/>
      <c r="G93" s="174"/>
      <c r="H93" s="152"/>
    </row>
    <row r="94" spans="2:8" s="43" customFormat="1" x14ac:dyDescent="0.3">
      <c r="B94" s="45"/>
      <c r="C94" s="45"/>
      <c r="D94" s="127" t="str">
        <f t="shared" si="7"/>
        <v/>
      </c>
      <c r="E94" s="46"/>
      <c r="F94" s="173"/>
      <c r="G94" s="174"/>
      <c r="H94" s="152"/>
    </row>
    <row r="95" spans="2:8" s="43" customFormat="1" ht="15" thickBot="1" x14ac:dyDescent="0.35">
      <c r="B95" s="47"/>
      <c r="C95" s="47"/>
      <c r="D95" s="128" t="str">
        <f t="shared" si="7"/>
        <v/>
      </c>
      <c r="E95" s="48"/>
      <c r="F95" s="175"/>
      <c r="G95" s="176"/>
      <c r="H95" s="152"/>
    </row>
    <row r="96" spans="2:8" s="43" customFormat="1" ht="15" thickBot="1" x14ac:dyDescent="0.35">
      <c r="B96" s="135" t="s">
        <v>40</v>
      </c>
      <c r="C96" s="66">
        <f>SUM(C88:C95)</f>
        <v>0</v>
      </c>
      <c r="D96" s="135" t="str">
        <f xml:space="preserve"> setValueToTime(C96)</f>
        <v/>
      </c>
      <c r="E96" s="96"/>
      <c r="F96" s="177"/>
      <c r="G96" s="178"/>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9" t="s">
        <v>38</v>
      </c>
      <c r="G99" s="180"/>
      <c r="H99" s="151"/>
    </row>
    <row r="100" spans="2:8" s="43" customFormat="1" x14ac:dyDescent="0.3">
      <c r="B100" s="40"/>
      <c r="C100" s="41"/>
      <c r="D100" s="125" t="str">
        <f xml:space="preserve"> IF(C100="","",setValueToTime(C100))</f>
        <v/>
      </c>
      <c r="E100" s="42"/>
      <c r="F100" s="181"/>
      <c r="G100" s="182"/>
      <c r="H100" s="152"/>
    </row>
    <row r="101" spans="2:8" s="43" customFormat="1" x14ac:dyDescent="0.3">
      <c r="B101" s="44"/>
      <c r="C101" s="45"/>
      <c r="D101" s="126" t="str">
        <f t="shared" ref="D101:D107" si="8" xml:space="preserve"> IF(C101="","",setValueToTime(C101))</f>
        <v/>
      </c>
      <c r="E101" s="46"/>
      <c r="F101" s="173"/>
      <c r="G101" s="174"/>
      <c r="H101" s="152"/>
    </row>
    <row r="102" spans="2:8" s="43" customFormat="1" x14ac:dyDescent="0.3">
      <c r="B102" s="44"/>
      <c r="C102" s="45"/>
      <c r="D102" s="126" t="str">
        <f t="shared" si="8"/>
        <v/>
      </c>
      <c r="E102" s="46"/>
      <c r="F102" s="173"/>
      <c r="G102" s="174"/>
      <c r="H102" s="152"/>
    </row>
    <row r="103" spans="2:8" s="43" customFormat="1" x14ac:dyDescent="0.3">
      <c r="B103" s="44"/>
      <c r="C103" s="45"/>
      <c r="D103" s="126" t="str">
        <f t="shared" si="8"/>
        <v/>
      </c>
      <c r="E103" s="46"/>
      <c r="F103" s="173"/>
      <c r="G103" s="174"/>
      <c r="H103" s="152"/>
    </row>
    <row r="104" spans="2:8" s="43" customFormat="1" x14ac:dyDescent="0.3">
      <c r="B104" s="45"/>
      <c r="C104" s="45"/>
      <c r="D104" s="127" t="str">
        <f t="shared" si="8"/>
        <v/>
      </c>
      <c r="E104" s="46"/>
      <c r="F104" s="173"/>
      <c r="G104" s="174"/>
      <c r="H104" s="152"/>
    </row>
    <row r="105" spans="2:8" s="43" customFormat="1" x14ac:dyDescent="0.3">
      <c r="B105" s="45"/>
      <c r="C105" s="45"/>
      <c r="D105" s="127" t="str">
        <f t="shared" si="8"/>
        <v/>
      </c>
      <c r="E105" s="46"/>
      <c r="F105" s="173"/>
      <c r="G105" s="174"/>
      <c r="H105" s="152"/>
    </row>
    <row r="106" spans="2:8" s="43" customFormat="1" x14ac:dyDescent="0.3">
      <c r="B106" s="45"/>
      <c r="C106" s="45"/>
      <c r="D106" s="127" t="str">
        <f t="shared" si="8"/>
        <v/>
      </c>
      <c r="E106" s="46"/>
      <c r="F106" s="173"/>
      <c r="G106" s="174"/>
      <c r="H106" s="152"/>
    </row>
    <row r="107" spans="2:8" s="43" customFormat="1" ht="15" thickBot="1" x14ac:dyDescent="0.35">
      <c r="B107" s="47"/>
      <c r="C107" s="47"/>
      <c r="D107" s="128" t="str">
        <f t="shared" si="8"/>
        <v/>
      </c>
      <c r="E107" s="48"/>
      <c r="F107" s="175"/>
      <c r="G107" s="176"/>
      <c r="H107" s="152"/>
    </row>
    <row r="108" spans="2:8" s="43" customFormat="1" ht="15" thickBot="1" x14ac:dyDescent="0.35">
      <c r="B108" s="135" t="s">
        <v>40</v>
      </c>
      <c r="C108" s="66">
        <f>SUM(C100:C107)</f>
        <v>0</v>
      </c>
      <c r="D108" s="135" t="str">
        <f xml:space="preserve"> setValueToTime(C108)</f>
        <v/>
      </c>
      <c r="E108" s="96"/>
      <c r="F108" s="177"/>
      <c r="G108" s="178"/>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9" t="s">
        <v>38</v>
      </c>
      <c r="G111" s="180"/>
      <c r="H111" s="151"/>
    </row>
    <row r="112" spans="2:8" s="43" customFormat="1" x14ac:dyDescent="0.3">
      <c r="B112" s="40"/>
      <c r="C112" s="41"/>
      <c r="D112" s="125" t="str">
        <f xml:space="preserve"> IF(C112="","",setValueToTime(C112))</f>
        <v/>
      </c>
      <c r="E112" s="42"/>
      <c r="F112" s="181"/>
      <c r="G112" s="182"/>
      <c r="H112" s="152"/>
    </row>
    <row r="113" spans="2:8" s="43" customFormat="1" x14ac:dyDescent="0.3">
      <c r="B113" s="44"/>
      <c r="C113" s="45"/>
      <c r="D113" s="126" t="str">
        <f t="shared" ref="D113:D119" si="9" xml:space="preserve"> IF(C113="","",setValueToTime(C113))</f>
        <v/>
      </c>
      <c r="E113" s="46"/>
      <c r="F113" s="173"/>
      <c r="G113" s="174"/>
      <c r="H113" s="152"/>
    </row>
    <row r="114" spans="2:8" s="43" customFormat="1" x14ac:dyDescent="0.3">
      <c r="B114" s="44"/>
      <c r="C114" s="45"/>
      <c r="D114" s="126" t="str">
        <f t="shared" si="9"/>
        <v/>
      </c>
      <c r="E114" s="46"/>
      <c r="F114" s="173"/>
      <c r="G114" s="174"/>
      <c r="H114" s="152"/>
    </row>
    <row r="115" spans="2:8" s="43" customFormat="1" x14ac:dyDescent="0.3">
      <c r="B115" s="44"/>
      <c r="C115" s="45"/>
      <c r="D115" s="126" t="str">
        <f t="shared" si="9"/>
        <v/>
      </c>
      <c r="E115" s="46"/>
      <c r="F115" s="173"/>
      <c r="G115" s="174"/>
      <c r="H115" s="152"/>
    </row>
    <row r="116" spans="2:8" s="43" customFormat="1" x14ac:dyDescent="0.3">
      <c r="B116" s="45"/>
      <c r="C116" s="45"/>
      <c r="D116" s="127" t="str">
        <f t="shared" si="9"/>
        <v/>
      </c>
      <c r="E116" s="46"/>
      <c r="F116" s="173"/>
      <c r="G116" s="174"/>
      <c r="H116" s="152"/>
    </row>
    <row r="117" spans="2:8" s="43" customFormat="1" x14ac:dyDescent="0.3">
      <c r="B117" s="45"/>
      <c r="C117" s="45"/>
      <c r="D117" s="127" t="str">
        <f t="shared" si="9"/>
        <v/>
      </c>
      <c r="E117" s="46"/>
      <c r="F117" s="173"/>
      <c r="G117" s="174"/>
      <c r="H117" s="152"/>
    </row>
    <row r="118" spans="2:8" s="43" customFormat="1" x14ac:dyDescent="0.3">
      <c r="B118" s="45"/>
      <c r="C118" s="45"/>
      <c r="D118" s="127" t="str">
        <f t="shared" si="9"/>
        <v/>
      </c>
      <c r="E118" s="46"/>
      <c r="F118" s="173"/>
      <c r="G118" s="174"/>
      <c r="H118" s="152"/>
    </row>
    <row r="119" spans="2:8" s="43" customFormat="1" ht="15" thickBot="1" x14ac:dyDescent="0.35">
      <c r="B119" s="47"/>
      <c r="C119" s="47"/>
      <c r="D119" s="128" t="str">
        <f t="shared" si="9"/>
        <v/>
      </c>
      <c r="E119" s="48"/>
      <c r="F119" s="175"/>
      <c r="G119" s="176"/>
      <c r="H119" s="152"/>
    </row>
    <row r="120" spans="2:8" s="43" customFormat="1" ht="15" thickBot="1" x14ac:dyDescent="0.35">
      <c r="B120" s="135" t="s">
        <v>40</v>
      </c>
      <c r="C120" s="66">
        <f>SUM(C112:C119)</f>
        <v>0</v>
      </c>
      <c r="D120" s="135" t="str">
        <f xml:space="preserve"> setValueToTime(C120)</f>
        <v/>
      </c>
      <c r="E120" s="96"/>
      <c r="F120" s="177"/>
      <c r="G120" s="178"/>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9" t="s">
        <v>38</v>
      </c>
      <c r="G123" s="180"/>
      <c r="H123" s="151"/>
    </row>
    <row r="124" spans="2:8" s="43" customFormat="1" x14ac:dyDescent="0.3">
      <c r="B124" s="40"/>
      <c r="C124" s="41"/>
      <c r="D124" s="125" t="str">
        <f xml:space="preserve"> IF(C124="","",setValueToTime(C124))</f>
        <v/>
      </c>
      <c r="E124" s="42"/>
      <c r="F124" s="181"/>
      <c r="G124" s="182"/>
      <c r="H124" s="152"/>
    </row>
    <row r="125" spans="2:8" s="43" customFormat="1" x14ac:dyDescent="0.3">
      <c r="B125" s="44"/>
      <c r="C125" s="45"/>
      <c r="D125" s="126" t="str">
        <f t="shared" ref="D125:D131" si="10" xml:space="preserve"> IF(C125="","",setValueToTime(C125))</f>
        <v/>
      </c>
      <c r="E125" s="46"/>
      <c r="F125" s="173"/>
      <c r="G125" s="174"/>
      <c r="H125" s="152"/>
    </row>
    <row r="126" spans="2:8" s="43" customFormat="1" x14ac:dyDescent="0.3">
      <c r="B126" s="44"/>
      <c r="C126" s="45"/>
      <c r="D126" s="126" t="str">
        <f t="shared" si="10"/>
        <v/>
      </c>
      <c r="E126" s="46"/>
      <c r="F126" s="173"/>
      <c r="G126" s="174"/>
      <c r="H126" s="152"/>
    </row>
    <row r="127" spans="2:8" s="43" customFormat="1" x14ac:dyDescent="0.3">
      <c r="B127" s="44"/>
      <c r="C127" s="45"/>
      <c r="D127" s="126" t="str">
        <f t="shared" si="10"/>
        <v/>
      </c>
      <c r="E127" s="46"/>
      <c r="F127" s="173"/>
      <c r="G127" s="174"/>
      <c r="H127" s="152"/>
    </row>
    <row r="128" spans="2:8" s="43" customFormat="1" x14ac:dyDescent="0.3">
      <c r="B128" s="45"/>
      <c r="C128" s="45"/>
      <c r="D128" s="127" t="str">
        <f t="shared" si="10"/>
        <v/>
      </c>
      <c r="E128" s="46"/>
      <c r="F128" s="173"/>
      <c r="G128" s="174"/>
      <c r="H128" s="152"/>
    </row>
    <row r="129" spans="2:8" s="43" customFormat="1" x14ac:dyDescent="0.3">
      <c r="B129" s="45"/>
      <c r="C129" s="45"/>
      <c r="D129" s="127" t="str">
        <f t="shared" si="10"/>
        <v/>
      </c>
      <c r="E129" s="46"/>
      <c r="F129" s="173"/>
      <c r="G129" s="174"/>
      <c r="H129" s="152"/>
    </row>
    <row r="130" spans="2:8" s="43" customFormat="1" x14ac:dyDescent="0.3">
      <c r="B130" s="45"/>
      <c r="C130" s="45"/>
      <c r="D130" s="127" t="str">
        <f t="shared" si="10"/>
        <v/>
      </c>
      <c r="E130" s="46"/>
      <c r="F130" s="173"/>
      <c r="G130" s="174"/>
      <c r="H130" s="152"/>
    </row>
    <row r="131" spans="2:8" s="43" customFormat="1" ht="15" thickBot="1" x14ac:dyDescent="0.35">
      <c r="B131" s="47"/>
      <c r="C131" s="47"/>
      <c r="D131" s="128" t="str">
        <f t="shared" si="10"/>
        <v/>
      </c>
      <c r="E131" s="48"/>
      <c r="F131" s="175"/>
      <c r="G131" s="176"/>
      <c r="H131" s="152"/>
    </row>
    <row r="132" spans="2:8" s="43" customFormat="1" ht="15" thickBot="1" x14ac:dyDescent="0.35">
      <c r="B132" s="135" t="s">
        <v>40</v>
      </c>
      <c r="C132" s="66">
        <f>SUM(C124:C131)</f>
        <v>0</v>
      </c>
      <c r="D132" s="135" t="str">
        <f xml:space="preserve"> setValueToTime(C132)</f>
        <v/>
      </c>
      <c r="E132" s="96"/>
      <c r="F132" s="177"/>
      <c r="G132" s="178"/>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9" t="s">
        <v>38</v>
      </c>
      <c r="G135" s="180"/>
      <c r="H135" s="151"/>
    </row>
    <row r="136" spans="2:8" s="43" customFormat="1" x14ac:dyDescent="0.3">
      <c r="B136" s="40"/>
      <c r="C136" s="41"/>
      <c r="D136" s="125" t="str">
        <f xml:space="preserve"> IF(C136="","",setValueToTime(C136))</f>
        <v/>
      </c>
      <c r="E136" s="42"/>
      <c r="F136" s="181"/>
      <c r="G136" s="182"/>
      <c r="H136" s="152"/>
    </row>
    <row r="137" spans="2:8" s="43" customFormat="1" x14ac:dyDescent="0.3">
      <c r="B137" s="44"/>
      <c r="C137" s="45"/>
      <c r="D137" s="126" t="str">
        <f t="shared" ref="D137:D143" si="11" xml:space="preserve"> IF(C137="","",setValueToTime(C137))</f>
        <v/>
      </c>
      <c r="E137" s="46"/>
      <c r="F137" s="173"/>
      <c r="G137" s="174"/>
      <c r="H137" s="152"/>
    </row>
    <row r="138" spans="2:8" s="43" customFormat="1" x14ac:dyDescent="0.3">
      <c r="B138" s="44"/>
      <c r="C138" s="45"/>
      <c r="D138" s="126" t="str">
        <f t="shared" si="11"/>
        <v/>
      </c>
      <c r="E138" s="46"/>
      <c r="F138" s="173"/>
      <c r="G138" s="174"/>
      <c r="H138" s="152"/>
    </row>
    <row r="139" spans="2:8" s="43" customFormat="1" x14ac:dyDescent="0.3">
      <c r="B139" s="44"/>
      <c r="C139" s="45"/>
      <c r="D139" s="126" t="str">
        <f t="shared" si="11"/>
        <v/>
      </c>
      <c r="E139" s="46"/>
      <c r="F139" s="173"/>
      <c r="G139" s="174"/>
      <c r="H139" s="152"/>
    </row>
    <row r="140" spans="2:8" s="43" customFormat="1" x14ac:dyDescent="0.3">
      <c r="B140" s="45"/>
      <c r="C140" s="45"/>
      <c r="D140" s="127" t="str">
        <f t="shared" si="11"/>
        <v/>
      </c>
      <c r="E140" s="46"/>
      <c r="F140" s="173"/>
      <c r="G140" s="174"/>
      <c r="H140" s="152"/>
    </row>
    <row r="141" spans="2:8" s="43" customFormat="1" x14ac:dyDescent="0.3">
      <c r="B141" s="45"/>
      <c r="C141" s="45"/>
      <c r="D141" s="127" t="str">
        <f t="shared" si="11"/>
        <v/>
      </c>
      <c r="E141" s="46"/>
      <c r="F141" s="173"/>
      <c r="G141" s="174"/>
      <c r="H141" s="152"/>
    </row>
    <row r="142" spans="2:8" s="43" customFormat="1" x14ac:dyDescent="0.3">
      <c r="B142" s="45"/>
      <c r="C142" s="45"/>
      <c r="D142" s="127" t="str">
        <f t="shared" si="11"/>
        <v/>
      </c>
      <c r="E142" s="46"/>
      <c r="F142" s="173"/>
      <c r="G142" s="174"/>
      <c r="H142" s="152"/>
    </row>
    <row r="143" spans="2:8" s="43" customFormat="1" ht="15" thickBot="1" x14ac:dyDescent="0.35">
      <c r="B143" s="47"/>
      <c r="C143" s="47"/>
      <c r="D143" s="128" t="str">
        <f t="shared" si="11"/>
        <v/>
      </c>
      <c r="E143" s="48"/>
      <c r="F143" s="175"/>
      <c r="G143" s="176"/>
      <c r="H143" s="152"/>
    </row>
    <row r="144" spans="2:8" s="43" customFormat="1" ht="15" thickBot="1" x14ac:dyDescent="0.35">
      <c r="B144" s="135" t="s">
        <v>40</v>
      </c>
      <c r="C144" s="66">
        <f>SUM(C136:C143)</f>
        <v>0</v>
      </c>
      <c r="D144" s="135" t="str">
        <f xml:space="preserve"> setValueToTime(C144)</f>
        <v/>
      </c>
      <c r="E144" s="96"/>
      <c r="F144" s="177"/>
      <c r="G144" s="178"/>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9" t="s">
        <v>38</v>
      </c>
      <c r="G147" s="180"/>
      <c r="H147" s="151"/>
    </row>
    <row r="148" spans="2:8" s="43" customFormat="1" x14ac:dyDescent="0.3">
      <c r="B148" s="40"/>
      <c r="C148" s="41"/>
      <c r="D148" s="125" t="str">
        <f xml:space="preserve"> IF(C148="","",setValueToTime(C148))</f>
        <v/>
      </c>
      <c r="E148" s="42"/>
      <c r="F148" s="181"/>
      <c r="G148" s="182"/>
      <c r="H148" s="152"/>
    </row>
    <row r="149" spans="2:8" s="43" customFormat="1" x14ac:dyDescent="0.3">
      <c r="B149" s="44"/>
      <c r="C149" s="45"/>
      <c r="D149" s="126" t="str">
        <f t="shared" ref="D149:D155" si="12" xml:space="preserve"> IF(C149="","",setValueToTime(C149))</f>
        <v/>
      </c>
      <c r="E149" s="46"/>
      <c r="F149" s="173"/>
      <c r="G149" s="174"/>
      <c r="H149" s="152"/>
    </row>
    <row r="150" spans="2:8" s="43" customFormat="1" x14ac:dyDescent="0.3">
      <c r="B150" s="44"/>
      <c r="C150" s="45"/>
      <c r="D150" s="126" t="str">
        <f t="shared" si="12"/>
        <v/>
      </c>
      <c r="E150" s="46"/>
      <c r="F150" s="173"/>
      <c r="G150" s="174"/>
      <c r="H150" s="152"/>
    </row>
    <row r="151" spans="2:8" s="43" customFormat="1" x14ac:dyDescent="0.3">
      <c r="B151" s="44"/>
      <c r="C151" s="45"/>
      <c r="D151" s="126" t="str">
        <f t="shared" si="12"/>
        <v/>
      </c>
      <c r="E151" s="46"/>
      <c r="F151" s="173"/>
      <c r="G151" s="174"/>
      <c r="H151" s="152"/>
    </row>
    <row r="152" spans="2:8" s="43" customFormat="1" x14ac:dyDescent="0.3">
      <c r="B152" s="45"/>
      <c r="C152" s="45"/>
      <c r="D152" s="127" t="str">
        <f t="shared" si="12"/>
        <v/>
      </c>
      <c r="E152" s="46"/>
      <c r="F152" s="173"/>
      <c r="G152" s="174"/>
      <c r="H152" s="152"/>
    </row>
    <row r="153" spans="2:8" s="43" customFormat="1" x14ac:dyDescent="0.3">
      <c r="B153" s="45"/>
      <c r="C153" s="45"/>
      <c r="D153" s="127" t="str">
        <f t="shared" si="12"/>
        <v/>
      </c>
      <c r="E153" s="46"/>
      <c r="F153" s="173"/>
      <c r="G153" s="174"/>
      <c r="H153" s="152"/>
    </row>
    <row r="154" spans="2:8" s="43" customFormat="1" x14ac:dyDescent="0.3">
      <c r="B154" s="45"/>
      <c r="C154" s="45"/>
      <c r="D154" s="127" t="str">
        <f t="shared" si="12"/>
        <v/>
      </c>
      <c r="E154" s="46"/>
      <c r="F154" s="173"/>
      <c r="G154" s="174"/>
      <c r="H154" s="152"/>
    </row>
    <row r="155" spans="2:8" s="43" customFormat="1" ht="15" thickBot="1" x14ac:dyDescent="0.35">
      <c r="B155" s="47"/>
      <c r="C155" s="47"/>
      <c r="D155" s="128" t="str">
        <f t="shared" si="12"/>
        <v/>
      </c>
      <c r="E155" s="48"/>
      <c r="F155" s="175"/>
      <c r="G155" s="176"/>
      <c r="H155" s="152"/>
    </row>
    <row r="156" spans="2:8" s="43" customFormat="1" ht="15" thickBot="1" x14ac:dyDescent="0.35">
      <c r="B156" s="135" t="s">
        <v>40</v>
      </c>
      <c r="C156" s="66">
        <f>SUM(C148:C155)</f>
        <v>0</v>
      </c>
      <c r="D156" s="135" t="str">
        <f xml:space="preserve"> setValueToTime(C156)</f>
        <v/>
      </c>
      <c r="E156" s="96"/>
      <c r="F156" s="177"/>
      <c r="G156" s="178"/>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9" t="s">
        <v>38</v>
      </c>
      <c r="G159" s="180"/>
      <c r="H159" s="151"/>
    </row>
    <row r="160" spans="2:8" s="43" customFormat="1" x14ac:dyDescent="0.3">
      <c r="B160" s="40"/>
      <c r="C160" s="41"/>
      <c r="D160" s="125" t="str">
        <f xml:space="preserve"> IF(C160="","",setValueToTime(C160))</f>
        <v/>
      </c>
      <c r="E160" s="42"/>
      <c r="F160" s="181"/>
      <c r="G160" s="182"/>
      <c r="H160" s="152"/>
    </row>
    <row r="161" spans="2:8" s="43" customFormat="1" x14ac:dyDescent="0.3">
      <c r="B161" s="44"/>
      <c r="C161" s="45"/>
      <c r="D161" s="126" t="str">
        <f t="shared" ref="D161:D167" si="13" xml:space="preserve"> IF(C161="","",setValueToTime(C161))</f>
        <v/>
      </c>
      <c r="E161" s="46"/>
      <c r="F161" s="173"/>
      <c r="G161" s="174"/>
      <c r="H161" s="152"/>
    </row>
    <row r="162" spans="2:8" s="43" customFormat="1" x14ac:dyDescent="0.3">
      <c r="B162" s="44"/>
      <c r="C162" s="45"/>
      <c r="D162" s="126" t="str">
        <f t="shared" si="13"/>
        <v/>
      </c>
      <c r="E162" s="46"/>
      <c r="F162" s="173"/>
      <c r="G162" s="174"/>
      <c r="H162" s="152"/>
    </row>
    <row r="163" spans="2:8" s="43" customFormat="1" x14ac:dyDescent="0.3">
      <c r="B163" s="44"/>
      <c r="C163" s="45"/>
      <c r="D163" s="126" t="str">
        <f t="shared" si="13"/>
        <v/>
      </c>
      <c r="E163" s="46"/>
      <c r="F163" s="173"/>
      <c r="G163" s="174"/>
      <c r="H163" s="152"/>
    </row>
    <row r="164" spans="2:8" s="43" customFormat="1" x14ac:dyDescent="0.3">
      <c r="B164" s="45"/>
      <c r="C164" s="45"/>
      <c r="D164" s="127" t="str">
        <f t="shared" si="13"/>
        <v/>
      </c>
      <c r="E164" s="46"/>
      <c r="F164" s="173"/>
      <c r="G164" s="174"/>
      <c r="H164" s="152"/>
    </row>
    <row r="165" spans="2:8" s="43" customFormat="1" x14ac:dyDescent="0.3">
      <c r="B165" s="45"/>
      <c r="C165" s="45"/>
      <c r="D165" s="127" t="str">
        <f t="shared" si="13"/>
        <v/>
      </c>
      <c r="E165" s="46"/>
      <c r="F165" s="173"/>
      <c r="G165" s="174"/>
      <c r="H165" s="152"/>
    </row>
    <row r="166" spans="2:8" s="43" customFormat="1" x14ac:dyDescent="0.3">
      <c r="B166" s="45"/>
      <c r="C166" s="45"/>
      <c r="D166" s="127" t="str">
        <f t="shared" si="13"/>
        <v/>
      </c>
      <c r="E166" s="46"/>
      <c r="F166" s="173"/>
      <c r="G166" s="174"/>
      <c r="H166" s="152"/>
    </row>
    <row r="167" spans="2:8" s="43" customFormat="1" ht="15" thickBot="1" x14ac:dyDescent="0.35">
      <c r="B167" s="47"/>
      <c r="C167" s="47"/>
      <c r="D167" s="128" t="str">
        <f t="shared" si="13"/>
        <v/>
      </c>
      <c r="E167" s="48"/>
      <c r="F167" s="175"/>
      <c r="G167" s="176"/>
      <c r="H167" s="152"/>
    </row>
    <row r="168" spans="2:8" s="43" customFormat="1" ht="15" thickBot="1" x14ac:dyDescent="0.35">
      <c r="B168" s="135" t="s">
        <v>40</v>
      </c>
      <c r="C168" s="66">
        <f>SUM(C160:C167)</f>
        <v>0</v>
      </c>
      <c r="D168" s="135" t="str">
        <f xml:space="preserve"> setValueToTime(C168)</f>
        <v/>
      </c>
      <c r="E168" s="96"/>
      <c r="F168" s="177"/>
      <c r="G168" s="178"/>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9" t="s">
        <v>38</v>
      </c>
      <c r="G171" s="180"/>
      <c r="H171" s="151"/>
    </row>
    <row r="172" spans="2:8" s="43" customFormat="1" x14ac:dyDescent="0.3">
      <c r="B172" s="40"/>
      <c r="C172" s="41"/>
      <c r="D172" s="125" t="str">
        <f xml:space="preserve"> IF(C172="","",setValueToTime(C172))</f>
        <v/>
      </c>
      <c r="E172" s="42"/>
      <c r="F172" s="181"/>
      <c r="G172" s="182"/>
      <c r="H172" s="152"/>
    </row>
    <row r="173" spans="2:8" s="43" customFormat="1" x14ac:dyDescent="0.3">
      <c r="B173" s="44"/>
      <c r="C173" s="45"/>
      <c r="D173" s="126" t="str">
        <f t="shared" ref="D173:D179" si="14" xml:space="preserve"> IF(C173="","",setValueToTime(C173))</f>
        <v/>
      </c>
      <c r="E173" s="46"/>
      <c r="F173" s="173"/>
      <c r="G173" s="174"/>
      <c r="H173" s="152"/>
    </row>
    <row r="174" spans="2:8" s="43" customFormat="1" x14ac:dyDescent="0.3">
      <c r="B174" s="44"/>
      <c r="C174" s="45"/>
      <c r="D174" s="126" t="str">
        <f t="shared" si="14"/>
        <v/>
      </c>
      <c r="E174" s="46"/>
      <c r="F174" s="173"/>
      <c r="G174" s="174"/>
      <c r="H174" s="152"/>
    </row>
    <row r="175" spans="2:8" s="43" customFormat="1" x14ac:dyDescent="0.3">
      <c r="B175" s="44"/>
      <c r="C175" s="45"/>
      <c r="D175" s="126" t="str">
        <f t="shared" si="14"/>
        <v/>
      </c>
      <c r="E175" s="46"/>
      <c r="F175" s="173"/>
      <c r="G175" s="174"/>
      <c r="H175" s="152"/>
    </row>
    <row r="176" spans="2:8" s="43" customFormat="1" x14ac:dyDescent="0.3">
      <c r="B176" s="45"/>
      <c r="C176" s="45"/>
      <c r="D176" s="127" t="str">
        <f t="shared" si="14"/>
        <v/>
      </c>
      <c r="E176" s="46"/>
      <c r="F176" s="173"/>
      <c r="G176" s="174"/>
      <c r="H176" s="152"/>
    </row>
    <row r="177" spans="2:8" s="43" customFormat="1" x14ac:dyDescent="0.3">
      <c r="B177" s="45"/>
      <c r="C177" s="45"/>
      <c r="D177" s="127" t="str">
        <f t="shared" si="14"/>
        <v/>
      </c>
      <c r="E177" s="46"/>
      <c r="F177" s="173"/>
      <c r="G177" s="174"/>
      <c r="H177" s="152"/>
    </row>
    <row r="178" spans="2:8" s="43" customFormat="1" x14ac:dyDescent="0.3">
      <c r="B178" s="45"/>
      <c r="C178" s="45"/>
      <c r="D178" s="127" t="str">
        <f t="shared" si="14"/>
        <v/>
      </c>
      <c r="E178" s="46"/>
      <c r="F178" s="173"/>
      <c r="G178" s="174"/>
      <c r="H178" s="152"/>
    </row>
    <row r="179" spans="2:8" s="43" customFormat="1" ht="15" thickBot="1" x14ac:dyDescent="0.35">
      <c r="B179" s="47"/>
      <c r="C179" s="47"/>
      <c r="D179" s="128" t="str">
        <f t="shared" si="14"/>
        <v/>
      </c>
      <c r="E179" s="48"/>
      <c r="F179" s="175"/>
      <c r="G179" s="176"/>
      <c r="H179" s="152"/>
    </row>
    <row r="180" spans="2:8" s="43" customFormat="1" ht="15" thickBot="1" x14ac:dyDescent="0.35">
      <c r="B180" s="135" t="s">
        <v>40</v>
      </c>
      <c r="C180" s="66">
        <f>SUM(C172:C179)</f>
        <v>0</v>
      </c>
      <c r="D180" s="135" t="str">
        <f xml:space="preserve"> setValueToTime(C180)</f>
        <v/>
      </c>
      <c r="E180" s="96"/>
      <c r="F180" s="177"/>
      <c r="G180" s="178"/>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9" t="s">
        <v>38</v>
      </c>
      <c r="G183" s="180"/>
      <c r="H183" s="151"/>
    </row>
    <row r="184" spans="2:8" s="43" customFormat="1" x14ac:dyDescent="0.3">
      <c r="B184" s="40"/>
      <c r="C184" s="41"/>
      <c r="D184" s="125" t="str">
        <f xml:space="preserve"> IF(C184="","",setValueToTime(C184))</f>
        <v/>
      </c>
      <c r="E184" s="42"/>
      <c r="F184" s="181"/>
      <c r="G184" s="182"/>
      <c r="H184" s="152"/>
    </row>
    <row r="185" spans="2:8" s="43" customFormat="1" x14ac:dyDescent="0.3">
      <c r="B185" s="44"/>
      <c r="C185" s="45"/>
      <c r="D185" s="126" t="str">
        <f t="shared" ref="D185:D191" si="15" xml:space="preserve"> IF(C185="","",setValueToTime(C185))</f>
        <v/>
      </c>
      <c r="E185" s="46"/>
      <c r="F185" s="173"/>
      <c r="G185" s="174"/>
      <c r="H185" s="152"/>
    </row>
    <row r="186" spans="2:8" s="43" customFormat="1" x14ac:dyDescent="0.3">
      <c r="B186" s="44"/>
      <c r="C186" s="45"/>
      <c r="D186" s="126" t="str">
        <f t="shared" si="15"/>
        <v/>
      </c>
      <c r="E186" s="46"/>
      <c r="F186" s="173"/>
      <c r="G186" s="174"/>
      <c r="H186" s="152"/>
    </row>
    <row r="187" spans="2:8" s="43" customFormat="1" x14ac:dyDescent="0.3">
      <c r="B187" s="44"/>
      <c r="C187" s="45"/>
      <c r="D187" s="126" t="str">
        <f t="shared" si="15"/>
        <v/>
      </c>
      <c r="E187" s="46"/>
      <c r="F187" s="173"/>
      <c r="G187" s="174"/>
      <c r="H187" s="152"/>
    </row>
    <row r="188" spans="2:8" s="43" customFormat="1" x14ac:dyDescent="0.3">
      <c r="B188" s="45"/>
      <c r="C188" s="45"/>
      <c r="D188" s="127" t="str">
        <f t="shared" si="15"/>
        <v/>
      </c>
      <c r="E188" s="46"/>
      <c r="F188" s="173"/>
      <c r="G188" s="174"/>
      <c r="H188" s="152"/>
    </row>
    <row r="189" spans="2:8" s="43" customFormat="1" x14ac:dyDescent="0.3">
      <c r="B189" s="45"/>
      <c r="C189" s="45"/>
      <c r="D189" s="127" t="str">
        <f t="shared" si="15"/>
        <v/>
      </c>
      <c r="E189" s="46"/>
      <c r="F189" s="173"/>
      <c r="G189" s="174"/>
      <c r="H189" s="152"/>
    </row>
    <row r="190" spans="2:8" s="43" customFormat="1" x14ac:dyDescent="0.3">
      <c r="B190" s="45"/>
      <c r="C190" s="45"/>
      <c r="D190" s="127" t="str">
        <f t="shared" si="15"/>
        <v/>
      </c>
      <c r="E190" s="46"/>
      <c r="F190" s="173"/>
      <c r="G190" s="174"/>
      <c r="H190" s="152"/>
    </row>
    <row r="191" spans="2:8" s="43" customFormat="1" ht="15" thickBot="1" x14ac:dyDescent="0.35">
      <c r="B191" s="47"/>
      <c r="C191" s="47"/>
      <c r="D191" s="128" t="str">
        <f t="shared" si="15"/>
        <v/>
      </c>
      <c r="E191" s="48"/>
      <c r="F191" s="175"/>
      <c r="G191" s="176"/>
      <c r="H191" s="152"/>
    </row>
    <row r="192" spans="2:8" s="43" customFormat="1" ht="15" thickBot="1" x14ac:dyDescent="0.35">
      <c r="B192" s="135" t="s">
        <v>40</v>
      </c>
      <c r="C192" s="66">
        <f>SUM(C184:C191)</f>
        <v>0</v>
      </c>
      <c r="D192" s="135" t="str">
        <f xml:space="preserve"> setValueToTime(C192)</f>
        <v/>
      </c>
      <c r="E192" s="96"/>
      <c r="F192" s="177"/>
      <c r="G192" s="178"/>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9" t="s">
        <v>38</v>
      </c>
      <c r="G195" s="180"/>
      <c r="H195" s="151"/>
    </row>
    <row r="196" spans="2:8" s="43" customFormat="1" x14ac:dyDescent="0.3">
      <c r="B196" s="40"/>
      <c r="C196" s="41"/>
      <c r="D196" s="125" t="str">
        <f xml:space="preserve"> IF(C196="","",setValueToTime(C196))</f>
        <v/>
      </c>
      <c r="E196" s="42"/>
      <c r="F196" s="181"/>
      <c r="G196" s="182"/>
      <c r="H196" s="152"/>
    </row>
    <row r="197" spans="2:8" s="43" customFormat="1" x14ac:dyDescent="0.3">
      <c r="B197" s="44"/>
      <c r="C197" s="45"/>
      <c r="D197" s="126" t="str">
        <f t="shared" ref="D197:D203" si="16" xml:space="preserve"> IF(C197="","",setValueToTime(C197))</f>
        <v/>
      </c>
      <c r="E197" s="46"/>
      <c r="F197" s="173"/>
      <c r="G197" s="174"/>
      <c r="H197" s="152"/>
    </row>
    <row r="198" spans="2:8" s="43" customFormat="1" x14ac:dyDescent="0.3">
      <c r="B198" s="44"/>
      <c r="C198" s="45"/>
      <c r="D198" s="126" t="str">
        <f t="shared" si="16"/>
        <v/>
      </c>
      <c r="E198" s="46"/>
      <c r="F198" s="173"/>
      <c r="G198" s="174"/>
      <c r="H198" s="152"/>
    </row>
    <row r="199" spans="2:8" s="43" customFormat="1" x14ac:dyDescent="0.3">
      <c r="B199" s="44"/>
      <c r="C199" s="45"/>
      <c r="D199" s="126" t="str">
        <f t="shared" si="16"/>
        <v/>
      </c>
      <c r="E199" s="46"/>
      <c r="F199" s="173"/>
      <c r="G199" s="174"/>
      <c r="H199" s="152"/>
    </row>
    <row r="200" spans="2:8" s="43" customFormat="1" x14ac:dyDescent="0.3">
      <c r="B200" s="45"/>
      <c r="C200" s="45"/>
      <c r="D200" s="127" t="str">
        <f t="shared" si="16"/>
        <v/>
      </c>
      <c r="E200" s="46"/>
      <c r="F200" s="173"/>
      <c r="G200" s="174"/>
      <c r="H200" s="152"/>
    </row>
    <row r="201" spans="2:8" s="43" customFormat="1" x14ac:dyDescent="0.3">
      <c r="B201" s="45"/>
      <c r="C201" s="45"/>
      <c r="D201" s="127" t="str">
        <f t="shared" si="16"/>
        <v/>
      </c>
      <c r="E201" s="46"/>
      <c r="F201" s="173"/>
      <c r="G201" s="174"/>
      <c r="H201" s="152"/>
    </row>
    <row r="202" spans="2:8" s="43" customFormat="1" x14ac:dyDescent="0.3">
      <c r="B202" s="45"/>
      <c r="C202" s="45"/>
      <c r="D202" s="127" t="str">
        <f t="shared" si="16"/>
        <v/>
      </c>
      <c r="E202" s="46"/>
      <c r="F202" s="173"/>
      <c r="G202" s="174"/>
      <c r="H202" s="152"/>
    </row>
    <row r="203" spans="2:8" s="43" customFormat="1" ht="15" thickBot="1" x14ac:dyDescent="0.35">
      <c r="B203" s="47"/>
      <c r="C203" s="47"/>
      <c r="D203" s="128" t="str">
        <f t="shared" si="16"/>
        <v/>
      </c>
      <c r="E203" s="48"/>
      <c r="F203" s="175"/>
      <c r="G203" s="176"/>
      <c r="H203" s="152"/>
    </row>
    <row r="204" spans="2:8" s="43" customFormat="1" ht="15" thickBot="1" x14ac:dyDescent="0.35">
      <c r="B204" s="135" t="s">
        <v>40</v>
      </c>
      <c r="C204" s="66">
        <f>SUM(C196:C203)</f>
        <v>0</v>
      </c>
      <c r="D204" s="135" t="str">
        <f xml:space="preserve"> setValueToTime(C204)</f>
        <v/>
      </c>
      <c r="E204" s="96"/>
      <c r="F204" s="177"/>
      <c r="G204" s="178"/>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9" t="s">
        <v>38</v>
      </c>
      <c r="G207" s="180"/>
      <c r="H207" s="151"/>
    </row>
    <row r="208" spans="2:8" s="43" customFormat="1" x14ac:dyDescent="0.3">
      <c r="B208" s="40"/>
      <c r="C208" s="41"/>
      <c r="D208" s="125" t="str">
        <f xml:space="preserve"> IF(C208="","",setValueToTime(C208))</f>
        <v/>
      </c>
      <c r="E208" s="42"/>
      <c r="F208" s="181"/>
      <c r="G208" s="182"/>
      <c r="H208" s="152"/>
    </row>
    <row r="209" spans="2:8" s="43" customFormat="1" x14ac:dyDescent="0.3">
      <c r="B209" s="44"/>
      <c r="C209" s="45"/>
      <c r="D209" s="126" t="str">
        <f t="shared" ref="D209:D215" si="17" xml:space="preserve"> IF(C209="","",setValueToTime(C209))</f>
        <v/>
      </c>
      <c r="E209" s="46"/>
      <c r="F209" s="173"/>
      <c r="G209" s="174"/>
      <c r="H209" s="152"/>
    </row>
    <row r="210" spans="2:8" s="43" customFormat="1" x14ac:dyDescent="0.3">
      <c r="B210" s="44"/>
      <c r="C210" s="45"/>
      <c r="D210" s="126" t="str">
        <f t="shared" si="17"/>
        <v/>
      </c>
      <c r="E210" s="46"/>
      <c r="F210" s="173"/>
      <c r="G210" s="174"/>
      <c r="H210" s="152"/>
    </row>
    <row r="211" spans="2:8" s="43" customFormat="1" x14ac:dyDescent="0.3">
      <c r="B211" s="44"/>
      <c r="C211" s="45"/>
      <c r="D211" s="126" t="str">
        <f t="shared" si="17"/>
        <v/>
      </c>
      <c r="E211" s="46"/>
      <c r="F211" s="173"/>
      <c r="G211" s="174"/>
      <c r="H211" s="152"/>
    </row>
    <row r="212" spans="2:8" s="43" customFormat="1" x14ac:dyDescent="0.3">
      <c r="B212" s="45"/>
      <c r="C212" s="45"/>
      <c r="D212" s="127" t="str">
        <f t="shared" si="17"/>
        <v/>
      </c>
      <c r="E212" s="46"/>
      <c r="F212" s="173"/>
      <c r="G212" s="174"/>
      <c r="H212" s="152"/>
    </row>
    <row r="213" spans="2:8" s="43" customFormat="1" x14ac:dyDescent="0.3">
      <c r="B213" s="45"/>
      <c r="C213" s="45"/>
      <c r="D213" s="127" t="str">
        <f t="shared" si="17"/>
        <v/>
      </c>
      <c r="E213" s="46"/>
      <c r="F213" s="173"/>
      <c r="G213" s="174"/>
      <c r="H213" s="152"/>
    </row>
    <row r="214" spans="2:8" s="43" customFormat="1" x14ac:dyDescent="0.3">
      <c r="B214" s="45"/>
      <c r="C214" s="45"/>
      <c r="D214" s="127" t="str">
        <f t="shared" si="17"/>
        <v/>
      </c>
      <c r="E214" s="46"/>
      <c r="F214" s="173"/>
      <c r="G214" s="174"/>
      <c r="H214" s="152"/>
    </row>
    <row r="215" spans="2:8" s="43" customFormat="1" ht="15" thickBot="1" x14ac:dyDescent="0.35">
      <c r="B215" s="47"/>
      <c r="C215" s="47"/>
      <c r="D215" s="128" t="str">
        <f t="shared" si="17"/>
        <v/>
      </c>
      <c r="E215" s="48"/>
      <c r="F215" s="175"/>
      <c r="G215" s="176"/>
      <c r="H215" s="152"/>
    </row>
    <row r="216" spans="2:8" s="43" customFormat="1" ht="15" thickBot="1" x14ac:dyDescent="0.35">
      <c r="B216" s="135" t="s">
        <v>40</v>
      </c>
      <c r="C216" s="66">
        <f>SUM(C208:C215)</f>
        <v>0</v>
      </c>
      <c r="D216" s="135" t="str">
        <f xml:space="preserve"> setValueToTime(C216)</f>
        <v/>
      </c>
      <c r="E216" s="96"/>
      <c r="F216" s="177"/>
      <c r="G216" s="178"/>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9" t="s">
        <v>38</v>
      </c>
      <c r="G219" s="180"/>
      <c r="H219" s="151"/>
    </row>
    <row r="220" spans="2:8" s="43" customFormat="1" x14ac:dyDescent="0.3">
      <c r="B220" s="40"/>
      <c r="C220" s="41"/>
      <c r="D220" s="125" t="str">
        <f xml:space="preserve"> IF(C220="","",setValueToTime(C220))</f>
        <v/>
      </c>
      <c r="E220" s="42"/>
      <c r="F220" s="181"/>
      <c r="G220" s="182"/>
      <c r="H220" s="152"/>
    </row>
    <row r="221" spans="2:8" s="43" customFormat="1" x14ac:dyDescent="0.3">
      <c r="B221" s="44"/>
      <c r="C221" s="45"/>
      <c r="D221" s="126" t="str">
        <f t="shared" ref="D221:D227" si="18" xml:space="preserve"> IF(C221="","",setValueToTime(C221))</f>
        <v/>
      </c>
      <c r="E221" s="46"/>
      <c r="F221" s="173"/>
      <c r="G221" s="174"/>
      <c r="H221" s="152"/>
    </row>
    <row r="222" spans="2:8" s="43" customFormat="1" x14ac:dyDescent="0.3">
      <c r="B222" s="44"/>
      <c r="C222" s="45"/>
      <c r="D222" s="126" t="str">
        <f t="shared" si="18"/>
        <v/>
      </c>
      <c r="E222" s="46"/>
      <c r="F222" s="173"/>
      <c r="G222" s="174"/>
      <c r="H222" s="152"/>
    </row>
    <row r="223" spans="2:8" s="43" customFormat="1" x14ac:dyDescent="0.3">
      <c r="B223" s="44"/>
      <c r="C223" s="45"/>
      <c r="D223" s="126" t="str">
        <f t="shared" si="18"/>
        <v/>
      </c>
      <c r="E223" s="46"/>
      <c r="F223" s="173"/>
      <c r="G223" s="174"/>
      <c r="H223" s="152"/>
    </row>
    <row r="224" spans="2:8" s="43" customFormat="1" x14ac:dyDescent="0.3">
      <c r="B224" s="45"/>
      <c r="C224" s="45"/>
      <c r="D224" s="127" t="str">
        <f t="shared" si="18"/>
        <v/>
      </c>
      <c r="E224" s="46"/>
      <c r="F224" s="173"/>
      <c r="G224" s="174"/>
      <c r="H224" s="152"/>
    </row>
    <row r="225" spans="2:8" s="43" customFormat="1" x14ac:dyDescent="0.3">
      <c r="B225" s="45"/>
      <c r="C225" s="45"/>
      <c r="D225" s="127" t="str">
        <f t="shared" si="18"/>
        <v/>
      </c>
      <c r="E225" s="46"/>
      <c r="F225" s="173"/>
      <c r="G225" s="174"/>
      <c r="H225" s="152"/>
    </row>
    <row r="226" spans="2:8" s="43" customFormat="1" x14ac:dyDescent="0.3">
      <c r="B226" s="45"/>
      <c r="C226" s="45"/>
      <c r="D226" s="127" t="str">
        <f t="shared" si="18"/>
        <v/>
      </c>
      <c r="E226" s="46"/>
      <c r="F226" s="173"/>
      <c r="G226" s="174"/>
      <c r="H226" s="152"/>
    </row>
    <row r="227" spans="2:8" s="43" customFormat="1" ht="15" thickBot="1" x14ac:dyDescent="0.35">
      <c r="B227" s="47"/>
      <c r="C227" s="47"/>
      <c r="D227" s="128" t="str">
        <f t="shared" si="18"/>
        <v/>
      </c>
      <c r="E227" s="48"/>
      <c r="F227" s="175"/>
      <c r="G227" s="176"/>
      <c r="H227" s="152"/>
    </row>
    <row r="228" spans="2:8" s="43" customFormat="1" ht="15" thickBot="1" x14ac:dyDescent="0.35">
      <c r="B228" s="135" t="s">
        <v>40</v>
      </c>
      <c r="C228" s="66">
        <f>SUM(C220:C227)</f>
        <v>0</v>
      </c>
      <c r="D228" s="135" t="str">
        <f xml:space="preserve"> setValueToTime(C228)</f>
        <v/>
      </c>
      <c r="E228" s="96"/>
      <c r="F228" s="177"/>
      <c r="G228" s="178"/>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9" t="s">
        <v>38</v>
      </c>
      <c r="G231" s="180"/>
      <c r="H231" s="151"/>
    </row>
    <row r="232" spans="2:8" s="43" customFormat="1" ht="40.5" x14ac:dyDescent="0.3">
      <c r="B232" s="40" t="s">
        <v>73</v>
      </c>
      <c r="C232" s="41">
        <v>36</v>
      </c>
      <c r="D232" s="125" t="str">
        <f xml:space="preserve"> IF(C232="","",setValueToTime(C232))</f>
        <v>3h</v>
      </c>
      <c r="E232" s="42" t="s">
        <v>140</v>
      </c>
      <c r="F232" s="181"/>
      <c r="G232" s="182"/>
      <c r="H232" s="152"/>
    </row>
    <row r="233" spans="2:8" s="43" customFormat="1" ht="27" x14ac:dyDescent="0.3">
      <c r="B233" s="44" t="s">
        <v>29</v>
      </c>
      <c r="C233" s="45">
        <v>2</v>
      </c>
      <c r="D233" s="126" t="str">
        <f t="shared" ref="D233:D239" si="19" xml:space="preserve"> IF(C233="","",setValueToTime(C233))</f>
        <v xml:space="preserve"> 10 min</v>
      </c>
      <c r="E233" s="46"/>
      <c r="F233" s="173"/>
      <c r="G233" s="174"/>
      <c r="H233" s="152"/>
    </row>
    <row r="234" spans="2:8" s="43" customFormat="1" x14ac:dyDescent="0.3">
      <c r="B234" s="44"/>
      <c r="C234" s="45"/>
      <c r="D234" s="126" t="str">
        <f t="shared" si="19"/>
        <v/>
      </c>
      <c r="E234" s="46"/>
      <c r="F234" s="173"/>
      <c r="G234" s="174"/>
      <c r="H234" s="152"/>
    </row>
    <row r="235" spans="2:8" s="43" customFormat="1" x14ac:dyDescent="0.3">
      <c r="B235" s="44"/>
      <c r="C235" s="45"/>
      <c r="D235" s="126" t="str">
        <f t="shared" si="19"/>
        <v/>
      </c>
      <c r="E235" s="46"/>
      <c r="F235" s="173"/>
      <c r="G235" s="174"/>
      <c r="H235" s="152"/>
    </row>
    <row r="236" spans="2:8" s="43" customFormat="1" x14ac:dyDescent="0.3">
      <c r="B236" s="45"/>
      <c r="C236" s="45"/>
      <c r="D236" s="127" t="str">
        <f t="shared" si="19"/>
        <v/>
      </c>
      <c r="E236" s="46"/>
      <c r="F236" s="173"/>
      <c r="G236" s="174"/>
      <c r="H236" s="152"/>
    </row>
    <row r="237" spans="2:8" s="43" customFormat="1" x14ac:dyDescent="0.3">
      <c r="B237" s="45"/>
      <c r="C237" s="45"/>
      <c r="D237" s="127" t="str">
        <f t="shared" si="19"/>
        <v/>
      </c>
      <c r="E237" s="46"/>
      <c r="F237" s="173"/>
      <c r="G237" s="174"/>
      <c r="H237" s="152"/>
    </row>
    <row r="238" spans="2:8" s="43" customFormat="1" x14ac:dyDescent="0.3">
      <c r="B238" s="45"/>
      <c r="C238" s="45"/>
      <c r="D238" s="127" t="str">
        <f t="shared" si="19"/>
        <v/>
      </c>
      <c r="E238" s="46"/>
      <c r="F238" s="173"/>
      <c r="G238" s="174"/>
      <c r="H238" s="152"/>
    </row>
    <row r="239" spans="2:8" s="43" customFormat="1" ht="15" thickBot="1" x14ac:dyDescent="0.35">
      <c r="B239" s="47"/>
      <c r="C239" s="47"/>
      <c r="D239" s="128" t="str">
        <f t="shared" si="19"/>
        <v/>
      </c>
      <c r="E239" s="48"/>
      <c r="F239" s="175"/>
      <c r="G239" s="176"/>
      <c r="H239" s="152"/>
    </row>
    <row r="240" spans="2:8" s="43" customFormat="1" ht="15" thickBot="1" x14ac:dyDescent="0.35">
      <c r="B240" s="135" t="s">
        <v>40</v>
      </c>
      <c r="C240" s="66">
        <f>SUM(C232:C239)</f>
        <v>38</v>
      </c>
      <c r="D240" s="135" t="str">
        <f xml:space="preserve"> setValueToTime(C240)</f>
        <v>3h 10 min</v>
      </c>
      <c r="E240" s="96"/>
      <c r="F240" s="177"/>
      <c r="G240" s="178"/>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9" t="s">
        <v>38</v>
      </c>
      <c r="G243" s="180"/>
      <c r="H243" s="151"/>
    </row>
    <row r="244" spans="2:8" s="43" customFormat="1" ht="40.5" x14ac:dyDescent="0.3">
      <c r="B244" s="40" t="s">
        <v>73</v>
      </c>
      <c r="C244" s="41">
        <v>48</v>
      </c>
      <c r="D244" s="125" t="str">
        <f xml:space="preserve"> IF(C244="","",setValueToTime(C244))</f>
        <v>4h</v>
      </c>
      <c r="E244" s="42" t="s">
        <v>139</v>
      </c>
      <c r="F244" s="181"/>
      <c r="G244" s="182"/>
      <c r="H244" s="152"/>
    </row>
    <row r="245" spans="2:8" s="43" customFormat="1" x14ac:dyDescent="0.3">
      <c r="B245" s="44"/>
      <c r="C245" s="45"/>
      <c r="D245" s="126" t="str">
        <f t="shared" ref="D245:D251" si="20" xml:space="preserve"> IF(C245="","",setValueToTime(C245))</f>
        <v/>
      </c>
      <c r="E245" s="46"/>
      <c r="F245" s="173"/>
      <c r="G245" s="174"/>
      <c r="H245" s="152"/>
    </row>
    <row r="246" spans="2:8" s="43" customFormat="1" x14ac:dyDescent="0.3">
      <c r="B246" s="44"/>
      <c r="C246" s="45"/>
      <c r="D246" s="126" t="str">
        <f t="shared" si="20"/>
        <v/>
      </c>
      <c r="E246" s="46"/>
      <c r="F246" s="173"/>
      <c r="G246" s="174"/>
      <c r="H246" s="152"/>
    </row>
    <row r="247" spans="2:8" s="43" customFormat="1" x14ac:dyDescent="0.3">
      <c r="B247" s="44"/>
      <c r="C247" s="45"/>
      <c r="D247" s="126" t="str">
        <f t="shared" si="20"/>
        <v/>
      </c>
      <c r="E247" s="46"/>
      <c r="F247" s="173"/>
      <c r="G247" s="174"/>
      <c r="H247" s="152"/>
    </row>
    <row r="248" spans="2:8" s="43" customFormat="1" x14ac:dyDescent="0.3">
      <c r="B248" s="45"/>
      <c r="C248" s="45"/>
      <c r="D248" s="127" t="str">
        <f t="shared" si="20"/>
        <v/>
      </c>
      <c r="E248" s="46"/>
      <c r="F248" s="173"/>
      <c r="G248" s="174"/>
      <c r="H248" s="152"/>
    </row>
    <row r="249" spans="2:8" s="43" customFormat="1" x14ac:dyDescent="0.3">
      <c r="B249" s="45"/>
      <c r="C249" s="45"/>
      <c r="D249" s="127" t="str">
        <f t="shared" si="20"/>
        <v/>
      </c>
      <c r="E249" s="46"/>
      <c r="F249" s="173"/>
      <c r="G249" s="174"/>
      <c r="H249" s="152"/>
    </row>
    <row r="250" spans="2:8" s="43" customFormat="1" x14ac:dyDescent="0.3">
      <c r="B250" s="45"/>
      <c r="C250" s="45"/>
      <c r="D250" s="127" t="str">
        <f t="shared" si="20"/>
        <v/>
      </c>
      <c r="E250" s="46"/>
      <c r="F250" s="173"/>
      <c r="G250" s="174"/>
      <c r="H250" s="152"/>
    </row>
    <row r="251" spans="2:8" s="43" customFormat="1" ht="15" thickBot="1" x14ac:dyDescent="0.35">
      <c r="B251" s="47"/>
      <c r="C251" s="47"/>
      <c r="D251" s="128" t="str">
        <f t="shared" si="20"/>
        <v/>
      </c>
      <c r="E251" s="48"/>
      <c r="F251" s="175"/>
      <c r="G251" s="176"/>
      <c r="H251" s="152"/>
    </row>
    <row r="252" spans="2:8" s="43" customFormat="1" ht="15" thickBot="1" x14ac:dyDescent="0.35">
      <c r="B252" s="135" t="s">
        <v>40</v>
      </c>
      <c r="C252" s="66">
        <f>SUM(C244:C251)</f>
        <v>48</v>
      </c>
      <c r="D252" s="135" t="str">
        <f xml:space="preserve"> setValueToTime(C252)</f>
        <v>4h</v>
      </c>
      <c r="E252" s="96"/>
      <c r="F252" s="177"/>
      <c r="G252" s="178"/>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9" t="s">
        <v>38</v>
      </c>
      <c r="G255" s="180"/>
      <c r="H255" s="151"/>
    </row>
    <row r="256" spans="2:8" s="43" customFormat="1" ht="40.5" x14ac:dyDescent="0.3">
      <c r="B256" s="40" t="s">
        <v>30</v>
      </c>
      <c r="C256" s="41">
        <v>32</v>
      </c>
      <c r="D256" s="125" t="str">
        <f xml:space="preserve"> IF(C256="","",setValueToTime(C256))</f>
        <v>2h 40 min</v>
      </c>
      <c r="E256" s="42" t="s">
        <v>135</v>
      </c>
      <c r="F256" s="181"/>
      <c r="G256" s="182"/>
      <c r="H256" s="152"/>
    </row>
    <row r="257" spans="2:8" s="43" customFormat="1" ht="40.5" x14ac:dyDescent="0.3">
      <c r="B257" s="44" t="s">
        <v>73</v>
      </c>
      <c r="C257" s="45">
        <v>4</v>
      </c>
      <c r="D257" s="126" t="str">
        <f t="shared" ref="D257:D263" si="21" xml:space="preserve"> IF(C257="","",setValueToTime(C257))</f>
        <v xml:space="preserve"> 20 min</v>
      </c>
      <c r="E257" s="46" t="s">
        <v>136</v>
      </c>
      <c r="F257" s="173"/>
      <c r="G257" s="174"/>
      <c r="H257" s="152"/>
    </row>
    <row r="258" spans="2:8" s="43" customFormat="1" ht="27" x14ac:dyDescent="0.3">
      <c r="B258" s="44" t="s">
        <v>29</v>
      </c>
      <c r="C258" s="45">
        <v>2</v>
      </c>
      <c r="D258" s="126" t="str">
        <f t="shared" si="21"/>
        <v xml:space="preserve"> 10 min</v>
      </c>
      <c r="E258" s="46"/>
      <c r="F258" s="173"/>
      <c r="G258" s="174"/>
      <c r="H258" s="152"/>
    </row>
    <row r="259" spans="2:8" s="43" customFormat="1" x14ac:dyDescent="0.3">
      <c r="B259" s="44"/>
      <c r="C259" s="45"/>
      <c r="D259" s="126" t="str">
        <f t="shared" si="21"/>
        <v/>
      </c>
      <c r="E259" s="46"/>
      <c r="F259" s="173"/>
      <c r="G259" s="174"/>
      <c r="H259" s="152"/>
    </row>
    <row r="260" spans="2:8" s="43" customFormat="1" x14ac:dyDescent="0.3">
      <c r="B260" s="45"/>
      <c r="C260" s="45"/>
      <c r="D260" s="127" t="str">
        <f t="shared" si="21"/>
        <v/>
      </c>
      <c r="E260" s="46"/>
      <c r="F260" s="173"/>
      <c r="G260" s="174"/>
      <c r="H260" s="152"/>
    </row>
    <row r="261" spans="2:8" s="43" customFormat="1" x14ac:dyDescent="0.3">
      <c r="B261" s="45"/>
      <c r="C261" s="45"/>
      <c r="D261" s="127" t="str">
        <f t="shared" si="21"/>
        <v/>
      </c>
      <c r="E261" s="46"/>
      <c r="F261" s="173"/>
      <c r="G261" s="174"/>
      <c r="H261" s="152"/>
    </row>
    <row r="262" spans="2:8" s="43" customFormat="1" x14ac:dyDescent="0.3">
      <c r="B262" s="45"/>
      <c r="C262" s="45"/>
      <c r="D262" s="127" t="str">
        <f t="shared" si="21"/>
        <v/>
      </c>
      <c r="E262" s="46"/>
      <c r="F262" s="173"/>
      <c r="G262" s="174"/>
      <c r="H262" s="152"/>
    </row>
    <row r="263" spans="2:8" s="43" customFormat="1" ht="15" thickBot="1" x14ac:dyDescent="0.35">
      <c r="B263" s="47"/>
      <c r="C263" s="47"/>
      <c r="D263" s="128" t="str">
        <f t="shared" si="21"/>
        <v/>
      </c>
      <c r="E263" s="48"/>
      <c r="F263" s="175"/>
      <c r="G263" s="176"/>
      <c r="H263" s="152"/>
    </row>
    <row r="264" spans="2:8" s="43" customFormat="1" ht="15" thickBot="1" x14ac:dyDescent="0.35">
      <c r="B264" s="135" t="s">
        <v>40</v>
      </c>
      <c r="C264" s="66">
        <f>SUM(C256:C263)</f>
        <v>38</v>
      </c>
      <c r="D264" s="135" t="str">
        <f xml:space="preserve"> setValueToTime(C264)</f>
        <v>3h 10 min</v>
      </c>
      <c r="E264" s="96"/>
      <c r="F264" s="177"/>
      <c r="G264" s="178"/>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9" t="s">
        <v>38</v>
      </c>
      <c r="G267" s="180"/>
      <c r="H267" s="151"/>
    </row>
    <row r="268" spans="2:8" s="43" customFormat="1" ht="40.5" x14ac:dyDescent="0.3">
      <c r="B268" s="40" t="s">
        <v>30</v>
      </c>
      <c r="C268" s="41">
        <v>48</v>
      </c>
      <c r="D268" s="125" t="str">
        <f xml:space="preserve"> IF(C268="","",setValueToTime(C268))</f>
        <v>4h</v>
      </c>
      <c r="E268" s="42" t="s">
        <v>134</v>
      </c>
      <c r="F268" s="181"/>
      <c r="G268" s="182"/>
      <c r="H268" s="152"/>
    </row>
    <row r="269" spans="2:8" s="43" customFormat="1" x14ac:dyDescent="0.3">
      <c r="B269" s="44"/>
      <c r="C269" s="45"/>
      <c r="D269" s="126" t="str">
        <f t="shared" ref="D269:D275" si="22" xml:space="preserve"> IF(C269="","",setValueToTime(C269))</f>
        <v/>
      </c>
      <c r="E269" s="46"/>
      <c r="F269" s="173"/>
      <c r="G269" s="174"/>
      <c r="H269" s="152"/>
    </row>
    <row r="270" spans="2:8" s="43" customFormat="1" x14ac:dyDescent="0.3">
      <c r="B270" s="44"/>
      <c r="C270" s="45"/>
      <c r="D270" s="126" t="str">
        <f t="shared" si="22"/>
        <v/>
      </c>
      <c r="E270" s="46"/>
      <c r="F270" s="173"/>
      <c r="G270" s="174"/>
      <c r="H270" s="152"/>
    </row>
    <row r="271" spans="2:8" s="43" customFormat="1" x14ac:dyDescent="0.3">
      <c r="B271" s="44"/>
      <c r="C271" s="45"/>
      <c r="D271" s="126" t="str">
        <f t="shared" si="22"/>
        <v/>
      </c>
      <c r="E271" s="46"/>
      <c r="F271" s="173"/>
      <c r="G271" s="174"/>
      <c r="H271" s="152"/>
    </row>
    <row r="272" spans="2:8" s="43" customFormat="1" x14ac:dyDescent="0.3">
      <c r="B272" s="45"/>
      <c r="C272" s="45"/>
      <c r="D272" s="127" t="str">
        <f t="shared" si="22"/>
        <v/>
      </c>
      <c r="E272" s="46"/>
      <c r="F272" s="173"/>
      <c r="G272" s="174"/>
      <c r="H272" s="152"/>
    </row>
    <row r="273" spans="2:8" s="43" customFormat="1" x14ac:dyDescent="0.3">
      <c r="B273" s="45"/>
      <c r="C273" s="45"/>
      <c r="D273" s="127" t="str">
        <f t="shared" si="22"/>
        <v/>
      </c>
      <c r="E273" s="46"/>
      <c r="F273" s="173"/>
      <c r="G273" s="174"/>
      <c r="H273" s="152"/>
    </row>
    <row r="274" spans="2:8" s="43" customFormat="1" x14ac:dyDescent="0.3">
      <c r="B274" s="45"/>
      <c r="C274" s="45"/>
      <c r="D274" s="127" t="str">
        <f t="shared" si="22"/>
        <v/>
      </c>
      <c r="E274" s="46"/>
      <c r="F274" s="173"/>
      <c r="G274" s="174"/>
      <c r="H274" s="152"/>
    </row>
    <row r="275" spans="2:8" s="43" customFormat="1" ht="15" thickBot="1" x14ac:dyDescent="0.35">
      <c r="B275" s="47"/>
      <c r="C275" s="47"/>
      <c r="D275" s="128" t="str">
        <f t="shared" si="22"/>
        <v/>
      </c>
      <c r="E275" s="48"/>
      <c r="F275" s="175"/>
      <c r="G275" s="176"/>
      <c r="H275" s="152"/>
    </row>
    <row r="276" spans="2:8" s="43" customFormat="1" ht="15" thickBot="1" x14ac:dyDescent="0.35">
      <c r="B276" s="135" t="s">
        <v>40</v>
      </c>
      <c r="C276" s="66">
        <f>SUM(C268:C275)</f>
        <v>48</v>
      </c>
      <c r="D276" s="135" t="str">
        <f xml:space="preserve"> setValueToTime(C276)</f>
        <v>4h</v>
      </c>
      <c r="E276" s="96"/>
      <c r="F276" s="177"/>
      <c r="G276" s="178"/>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9" t="s">
        <v>38</v>
      </c>
      <c r="G279" s="180"/>
      <c r="H279" s="151"/>
    </row>
    <row r="280" spans="2:8" s="43" customFormat="1" x14ac:dyDescent="0.3">
      <c r="B280" s="40" t="s">
        <v>30</v>
      </c>
      <c r="C280" s="41">
        <v>25</v>
      </c>
      <c r="D280" s="125" t="str">
        <f xml:space="preserve"> IF(C280="","",setValueToTime(C280))</f>
        <v>2h 5 min</v>
      </c>
      <c r="E280" s="42" t="s">
        <v>133</v>
      </c>
      <c r="F280" s="181"/>
      <c r="G280" s="182"/>
      <c r="H280" s="152"/>
    </row>
    <row r="281" spans="2:8" s="43" customFormat="1" ht="27" x14ac:dyDescent="0.3">
      <c r="B281" s="44" t="s">
        <v>29</v>
      </c>
      <c r="C281" s="45">
        <v>3</v>
      </c>
      <c r="D281" s="126" t="str">
        <f t="shared" ref="D281:D287" si="23" xml:space="preserve"> IF(C281="","",setValueToTime(C281))</f>
        <v xml:space="preserve"> 15 min</v>
      </c>
      <c r="E281" s="46"/>
      <c r="F281" s="173"/>
      <c r="G281" s="174"/>
      <c r="H281" s="152"/>
    </row>
    <row r="282" spans="2:8" s="43" customFormat="1" x14ac:dyDescent="0.3">
      <c r="B282" s="44"/>
      <c r="C282" s="45"/>
      <c r="D282" s="126" t="str">
        <f t="shared" si="23"/>
        <v/>
      </c>
      <c r="E282" s="46"/>
      <c r="F282" s="173"/>
      <c r="G282" s="174"/>
      <c r="H282" s="152"/>
    </row>
    <row r="283" spans="2:8" s="43" customFormat="1" x14ac:dyDescent="0.3">
      <c r="B283" s="44"/>
      <c r="C283" s="45"/>
      <c r="D283" s="126" t="str">
        <f t="shared" si="23"/>
        <v/>
      </c>
      <c r="E283" s="46"/>
      <c r="F283" s="173"/>
      <c r="G283" s="174"/>
      <c r="H283" s="152"/>
    </row>
    <row r="284" spans="2:8" s="43" customFormat="1" x14ac:dyDescent="0.3">
      <c r="B284" s="45"/>
      <c r="C284" s="45"/>
      <c r="D284" s="127" t="str">
        <f t="shared" si="23"/>
        <v/>
      </c>
      <c r="E284" s="46"/>
      <c r="F284" s="173"/>
      <c r="G284" s="174"/>
      <c r="H284" s="152"/>
    </row>
    <row r="285" spans="2:8" s="43" customFormat="1" x14ac:dyDescent="0.3">
      <c r="B285" s="45"/>
      <c r="C285" s="45"/>
      <c r="D285" s="127" t="str">
        <f t="shared" si="23"/>
        <v/>
      </c>
      <c r="E285" s="46"/>
      <c r="F285" s="173"/>
      <c r="G285" s="174"/>
      <c r="H285" s="152"/>
    </row>
    <row r="286" spans="2:8" s="43" customFormat="1" x14ac:dyDescent="0.3">
      <c r="B286" s="45"/>
      <c r="C286" s="45"/>
      <c r="D286" s="127" t="str">
        <f t="shared" si="23"/>
        <v/>
      </c>
      <c r="E286" s="46"/>
      <c r="F286" s="173"/>
      <c r="G286" s="174"/>
      <c r="H286" s="152"/>
    </row>
    <row r="287" spans="2:8" s="43" customFormat="1" ht="15" thickBot="1" x14ac:dyDescent="0.35">
      <c r="B287" s="47"/>
      <c r="C287" s="47"/>
      <c r="D287" s="128" t="str">
        <f t="shared" si="23"/>
        <v/>
      </c>
      <c r="E287" s="48"/>
      <c r="F287" s="175"/>
      <c r="G287" s="176"/>
      <c r="H287" s="152"/>
    </row>
    <row r="288" spans="2:8" s="43" customFormat="1" ht="15" thickBot="1" x14ac:dyDescent="0.35">
      <c r="B288" s="135" t="s">
        <v>40</v>
      </c>
      <c r="C288" s="66">
        <f>SUM(C280:C287)</f>
        <v>28</v>
      </c>
      <c r="D288" s="135" t="str">
        <f xml:space="preserve"> setValueToTime(C288)</f>
        <v>2h 20 min</v>
      </c>
      <c r="E288" s="96"/>
      <c r="F288" s="177"/>
      <c r="G288" s="178"/>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9" t="s">
        <v>38</v>
      </c>
      <c r="G291" s="180"/>
      <c r="H291" s="151"/>
    </row>
    <row r="292" spans="2:8" s="43" customFormat="1" ht="27" x14ac:dyDescent="0.3">
      <c r="B292" s="40" t="s">
        <v>43</v>
      </c>
      <c r="C292" s="41">
        <v>28</v>
      </c>
      <c r="D292" s="125" t="str">
        <f xml:space="preserve"> IF(C292="","",setValueToTime(C292))</f>
        <v>2h 20 min</v>
      </c>
      <c r="E292" s="42" t="s">
        <v>131</v>
      </c>
      <c r="F292" s="181"/>
      <c r="G292" s="182"/>
      <c r="H292" s="152"/>
    </row>
    <row r="293" spans="2:8" s="43" customFormat="1" x14ac:dyDescent="0.3">
      <c r="B293" s="44" t="s">
        <v>30</v>
      </c>
      <c r="C293" s="45">
        <v>20</v>
      </c>
      <c r="D293" s="126" t="str">
        <f t="shared" ref="D293:D299" si="24" xml:space="preserve"> IF(C293="","",setValueToTime(C293))</f>
        <v>1h 40 min</v>
      </c>
      <c r="E293" s="46" t="s">
        <v>132</v>
      </c>
      <c r="F293" s="173"/>
      <c r="G293" s="174"/>
      <c r="H293" s="152"/>
    </row>
    <row r="294" spans="2:8" s="43" customFormat="1" x14ac:dyDescent="0.3">
      <c r="B294" s="44"/>
      <c r="C294" s="45"/>
      <c r="D294" s="126" t="str">
        <f t="shared" si="24"/>
        <v/>
      </c>
      <c r="E294" s="46"/>
      <c r="F294" s="173"/>
      <c r="G294" s="174"/>
      <c r="H294" s="152"/>
    </row>
    <row r="295" spans="2:8" s="43" customFormat="1" x14ac:dyDescent="0.3">
      <c r="B295" s="44"/>
      <c r="C295" s="45"/>
      <c r="D295" s="126" t="str">
        <f t="shared" si="24"/>
        <v/>
      </c>
      <c r="E295" s="46"/>
      <c r="F295" s="173"/>
      <c r="G295" s="174"/>
      <c r="H295" s="152"/>
    </row>
    <row r="296" spans="2:8" s="43" customFormat="1" x14ac:dyDescent="0.3">
      <c r="B296" s="45"/>
      <c r="C296" s="45"/>
      <c r="D296" s="127" t="str">
        <f t="shared" si="24"/>
        <v/>
      </c>
      <c r="E296" s="46"/>
      <c r="F296" s="173"/>
      <c r="G296" s="174"/>
      <c r="H296" s="152"/>
    </row>
    <row r="297" spans="2:8" s="43" customFormat="1" x14ac:dyDescent="0.3">
      <c r="B297" s="45"/>
      <c r="C297" s="45"/>
      <c r="D297" s="127" t="str">
        <f t="shared" si="24"/>
        <v/>
      </c>
      <c r="E297" s="46"/>
      <c r="F297" s="173"/>
      <c r="G297" s="174"/>
      <c r="H297" s="152"/>
    </row>
    <row r="298" spans="2:8" s="43" customFormat="1" x14ac:dyDescent="0.3">
      <c r="B298" s="45"/>
      <c r="C298" s="45"/>
      <c r="D298" s="127" t="str">
        <f t="shared" si="24"/>
        <v/>
      </c>
      <c r="E298" s="46"/>
      <c r="F298" s="173"/>
      <c r="G298" s="174"/>
      <c r="H298" s="152"/>
    </row>
    <row r="299" spans="2:8" s="43" customFormat="1" ht="15" thickBot="1" x14ac:dyDescent="0.35">
      <c r="B299" s="47"/>
      <c r="C299" s="47"/>
      <c r="D299" s="128" t="str">
        <f t="shared" si="24"/>
        <v/>
      </c>
      <c r="E299" s="48"/>
      <c r="F299" s="175"/>
      <c r="G299" s="176"/>
      <c r="H299" s="152"/>
    </row>
    <row r="300" spans="2:8" s="43" customFormat="1" ht="15" thickBot="1" x14ac:dyDescent="0.35">
      <c r="B300" s="135" t="s">
        <v>40</v>
      </c>
      <c r="C300" s="66">
        <f>SUM(C292:C299)</f>
        <v>48</v>
      </c>
      <c r="D300" s="135" t="str">
        <f xml:space="preserve"> setValueToTime(C300)</f>
        <v>4h</v>
      </c>
      <c r="E300" s="96"/>
      <c r="F300" s="177"/>
      <c r="G300" s="178"/>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9" t="s">
        <v>38</v>
      </c>
      <c r="G303" s="180"/>
      <c r="H303" s="151"/>
    </row>
    <row r="304" spans="2:8" s="43" customFormat="1" ht="27" x14ac:dyDescent="0.3">
      <c r="B304" s="40" t="s">
        <v>28</v>
      </c>
      <c r="C304" s="41">
        <v>23</v>
      </c>
      <c r="D304" s="125" t="str">
        <f xml:space="preserve"> IF(C304="","",setValueToTime(C304))</f>
        <v>1h 55 min</v>
      </c>
      <c r="E304" s="42" t="s">
        <v>129</v>
      </c>
      <c r="F304" s="181"/>
      <c r="G304" s="182"/>
      <c r="H304" s="152"/>
    </row>
    <row r="305" spans="2:8" s="43" customFormat="1" ht="27" x14ac:dyDescent="0.3">
      <c r="B305" s="44" t="s">
        <v>60</v>
      </c>
      <c r="C305" s="45">
        <v>2</v>
      </c>
      <c r="D305" s="126" t="str">
        <f t="shared" ref="D305:D311" si="25" xml:space="preserve"> IF(C305="","",setValueToTime(C305))</f>
        <v xml:space="preserve"> 10 min</v>
      </c>
      <c r="E305" s="46" t="s">
        <v>130</v>
      </c>
      <c r="F305" s="173"/>
      <c r="G305" s="174"/>
      <c r="H305" s="152"/>
    </row>
    <row r="306" spans="2:8" s="43" customFormat="1" ht="27" x14ac:dyDescent="0.3">
      <c r="B306" s="44" t="s">
        <v>29</v>
      </c>
      <c r="C306" s="45">
        <v>3</v>
      </c>
      <c r="D306" s="126" t="str">
        <f t="shared" ref="D306" si="26" xml:space="preserve"> IF(C306="","",setValueToTime(C306))</f>
        <v xml:space="preserve"> 15 min</v>
      </c>
      <c r="E306" s="46" t="s">
        <v>128</v>
      </c>
      <c r="F306" s="173"/>
      <c r="G306" s="174"/>
      <c r="H306" s="152"/>
    </row>
    <row r="307" spans="2:8" s="43" customFormat="1" x14ac:dyDescent="0.3">
      <c r="B307" s="44"/>
      <c r="C307" s="45"/>
      <c r="D307" s="126" t="str">
        <f t="shared" si="25"/>
        <v/>
      </c>
      <c r="E307" s="46"/>
      <c r="F307" s="173"/>
      <c r="G307" s="174"/>
      <c r="H307" s="152"/>
    </row>
    <row r="308" spans="2:8" s="43" customFormat="1" x14ac:dyDescent="0.3">
      <c r="B308" s="45"/>
      <c r="C308" s="45"/>
      <c r="D308" s="127" t="str">
        <f t="shared" si="25"/>
        <v/>
      </c>
      <c r="E308" s="46"/>
      <c r="F308" s="173"/>
      <c r="G308" s="174"/>
      <c r="H308" s="152"/>
    </row>
    <row r="309" spans="2:8" s="43" customFormat="1" x14ac:dyDescent="0.3">
      <c r="B309" s="45"/>
      <c r="C309" s="45"/>
      <c r="D309" s="127" t="str">
        <f t="shared" si="25"/>
        <v/>
      </c>
      <c r="E309" s="46"/>
      <c r="F309" s="173"/>
      <c r="G309" s="174"/>
      <c r="H309" s="152"/>
    </row>
    <row r="310" spans="2:8" s="43" customFormat="1" x14ac:dyDescent="0.3">
      <c r="B310" s="45"/>
      <c r="C310" s="45"/>
      <c r="D310" s="127" t="str">
        <f t="shared" si="25"/>
        <v/>
      </c>
      <c r="E310" s="46"/>
      <c r="F310" s="173"/>
      <c r="G310" s="174"/>
      <c r="H310" s="152"/>
    </row>
    <row r="311" spans="2:8" s="43" customFormat="1" ht="15" thickBot="1" x14ac:dyDescent="0.35">
      <c r="B311" s="47"/>
      <c r="C311" s="47"/>
      <c r="D311" s="128" t="str">
        <f t="shared" si="25"/>
        <v/>
      </c>
      <c r="E311" s="48"/>
      <c r="F311" s="175"/>
      <c r="G311" s="176"/>
      <c r="H311" s="152"/>
    </row>
    <row r="312" spans="2:8" s="43" customFormat="1" ht="15" thickBot="1" x14ac:dyDescent="0.35">
      <c r="B312" s="135" t="s">
        <v>40</v>
      </c>
      <c r="C312" s="66">
        <f>SUM(C304:C311)</f>
        <v>28</v>
      </c>
      <c r="D312" s="135" t="str">
        <f xml:space="preserve"> setValueToTime(C312)</f>
        <v>2h 20 min</v>
      </c>
      <c r="E312" s="96"/>
      <c r="F312" s="177"/>
      <c r="G312" s="178"/>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9" t="s">
        <v>38</v>
      </c>
      <c r="G315" s="180"/>
      <c r="H315" s="151"/>
    </row>
    <row r="316" spans="2:8" s="43" customFormat="1" ht="27" x14ac:dyDescent="0.3">
      <c r="B316" s="40" t="s">
        <v>61</v>
      </c>
      <c r="C316" s="41">
        <v>9</v>
      </c>
      <c r="D316" s="125" t="str">
        <f xml:space="preserve"> IF(C316="","",setValueToTime(C316))</f>
        <v xml:space="preserve"> 45 min</v>
      </c>
      <c r="E316" s="42" t="s">
        <v>127</v>
      </c>
      <c r="F316" s="181"/>
      <c r="G316" s="182"/>
      <c r="H316" s="152"/>
    </row>
    <row r="317" spans="2:8" s="43" customFormat="1" ht="27" x14ac:dyDescent="0.3">
      <c r="B317" s="44" t="s">
        <v>42</v>
      </c>
      <c r="C317" s="45">
        <v>5</v>
      </c>
      <c r="D317" s="126" t="str">
        <f t="shared" ref="D317:D323" si="27" xml:space="preserve"> IF(C317="","",setValueToTime(C317))</f>
        <v xml:space="preserve"> 25 min</v>
      </c>
      <c r="E317" s="46" t="s">
        <v>126</v>
      </c>
      <c r="F317" s="173"/>
      <c r="G317" s="174"/>
      <c r="H317" s="152"/>
    </row>
    <row r="318" spans="2:8" s="43" customFormat="1" ht="27" x14ac:dyDescent="0.3">
      <c r="B318" s="44" t="s">
        <v>60</v>
      </c>
      <c r="C318" s="45">
        <v>3</v>
      </c>
      <c r="D318" s="126" t="str">
        <f t="shared" si="27"/>
        <v xml:space="preserve"> 15 min</v>
      </c>
      <c r="E318" s="46" t="s">
        <v>125</v>
      </c>
      <c r="F318" s="173"/>
      <c r="G318" s="174"/>
      <c r="H318" s="152"/>
    </row>
    <row r="319" spans="2:8" s="43" customFormat="1" ht="27" x14ac:dyDescent="0.3">
      <c r="B319" s="44" t="s">
        <v>70</v>
      </c>
      <c r="C319" s="45">
        <v>2</v>
      </c>
      <c r="D319" s="126" t="str">
        <f t="shared" si="27"/>
        <v xml:space="preserve"> 10 min</v>
      </c>
      <c r="E319" s="46" t="s">
        <v>124</v>
      </c>
      <c r="F319" s="173"/>
      <c r="G319" s="174"/>
      <c r="H319" s="152"/>
    </row>
    <row r="320" spans="2:8" s="43" customFormat="1" ht="27" x14ac:dyDescent="0.3">
      <c r="B320" s="45" t="s">
        <v>28</v>
      </c>
      <c r="C320" s="45">
        <v>19</v>
      </c>
      <c r="D320" s="127" t="str">
        <f t="shared" si="27"/>
        <v>1h 35 min</v>
      </c>
      <c r="E320" s="46" t="s">
        <v>123</v>
      </c>
      <c r="F320" s="173"/>
      <c r="G320" s="174"/>
      <c r="H320" s="152"/>
    </row>
    <row r="321" spans="2:8" s="43" customFormat="1" x14ac:dyDescent="0.3">
      <c r="B321" s="45"/>
      <c r="C321" s="45"/>
      <c r="D321" s="127" t="str">
        <f t="shared" si="27"/>
        <v/>
      </c>
      <c r="E321" s="46"/>
      <c r="F321" s="173"/>
      <c r="G321" s="174"/>
      <c r="H321" s="152"/>
    </row>
    <row r="322" spans="2:8" s="43" customFormat="1" x14ac:dyDescent="0.3">
      <c r="B322" s="45"/>
      <c r="C322" s="45"/>
      <c r="D322" s="127" t="str">
        <f t="shared" si="27"/>
        <v/>
      </c>
      <c r="E322" s="46"/>
      <c r="F322" s="173"/>
      <c r="G322" s="174"/>
      <c r="H322" s="152"/>
    </row>
    <row r="323" spans="2:8" s="43" customFormat="1" ht="15" thickBot="1" x14ac:dyDescent="0.35">
      <c r="B323" s="47"/>
      <c r="C323" s="47"/>
      <c r="D323" s="128" t="str">
        <f t="shared" si="27"/>
        <v/>
      </c>
      <c r="E323" s="48"/>
      <c r="F323" s="175"/>
      <c r="G323" s="176"/>
      <c r="H323" s="152"/>
    </row>
    <row r="324" spans="2:8" s="43" customFormat="1" ht="15" thickBot="1" x14ac:dyDescent="0.35">
      <c r="B324" s="135" t="s">
        <v>40</v>
      </c>
      <c r="C324" s="66">
        <f>SUM(C316:C323)</f>
        <v>38</v>
      </c>
      <c r="D324" s="135" t="str">
        <f xml:space="preserve"> setValueToTime(C324)</f>
        <v>3h 10 min</v>
      </c>
      <c r="E324" s="96"/>
      <c r="F324" s="177"/>
      <c r="G324" s="178"/>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73"/>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73"/>
    </row>
    <row r="13" spans="1:61" ht="18.75" thickBot="1" x14ac:dyDescent="0.3">
      <c r="A13" s="213" t="s">
        <v>33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3"/>
    </row>
    <row r="14" spans="1:61" ht="15.75" thickBot="1" x14ac:dyDescent="0.35">
      <c r="A14" s="81"/>
      <c r="B14" s="82"/>
      <c r="C14" s="82"/>
      <c r="D14" s="82"/>
      <c r="E14" s="197" t="s">
        <v>17</v>
      </c>
      <c r="F14" s="197"/>
      <c r="G14" s="197"/>
      <c r="H14" s="197"/>
      <c r="I14" s="82"/>
      <c r="J14" s="82"/>
      <c r="K14" s="198" t="s">
        <v>18</v>
      </c>
      <c r="L14" s="198"/>
      <c r="M14" s="198"/>
      <c r="N14" s="198"/>
      <c r="O14" s="102"/>
      <c r="P14" s="102"/>
      <c r="Q14" s="197" t="s">
        <v>19</v>
      </c>
      <c r="R14" s="197"/>
      <c r="S14" s="197"/>
      <c r="T14" s="197"/>
      <c r="U14" s="82"/>
      <c r="V14" s="82"/>
      <c r="W14" s="198" t="s">
        <v>20</v>
      </c>
      <c r="X14" s="198"/>
      <c r="Y14" s="198"/>
      <c r="Z14" s="198"/>
      <c r="AA14" s="102"/>
      <c r="AB14" s="102"/>
      <c r="AC14" s="197" t="s">
        <v>21</v>
      </c>
      <c r="AD14" s="197"/>
      <c r="AE14" s="197"/>
      <c r="AF14" s="197"/>
      <c r="AG14" s="82"/>
      <c r="AH14" s="82"/>
      <c r="AI14" s="198" t="s">
        <v>22</v>
      </c>
      <c r="AJ14" s="198"/>
      <c r="AK14" s="198"/>
      <c r="AL14" s="198"/>
      <c r="AM14" s="102"/>
      <c r="AN14" s="102"/>
      <c r="AO14" s="197" t="s">
        <v>23</v>
      </c>
      <c r="AP14" s="197"/>
      <c r="AQ14" s="197"/>
      <c r="AR14" s="197"/>
      <c r="AS14" s="82"/>
      <c r="AT14" s="82"/>
      <c r="AU14" s="198" t="s">
        <v>24</v>
      </c>
      <c r="AV14" s="198"/>
      <c r="AW14" s="198"/>
      <c r="AX14" s="198"/>
      <c r="AY14" s="102"/>
      <c r="AZ14" s="102"/>
      <c r="BA14" s="197" t="s">
        <v>25</v>
      </c>
      <c r="BB14" s="197"/>
      <c r="BC14" s="197"/>
      <c r="BD14" s="19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3" t="s">
        <v>38</v>
      </c>
      <c r="G2" s="224"/>
      <c r="H2" s="151"/>
    </row>
    <row r="3" spans="2:8" s="43" customFormat="1" x14ac:dyDescent="0.3">
      <c r="B3" s="40" t="s">
        <v>39</v>
      </c>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7" t="str">
        <f t="shared" si="0"/>
        <v/>
      </c>
      <c r="E7" s="46"/>
      <c r="F7" s="173"/>
      <c r="G7" s="174"/>
      <c r="H7" s="152"/>
    </row>
    <row r="8" spans="2:8" s="43" customFormat="1" x14ac:dyDescent="0.3">
      <c r="B8" s="44"/>
      <c r="C8" s="45"/>
      <c r="D8" s="127" t="str">
        <f t="shared" si="0"/>
        <v/>
      </c>
      <c r="E8" s="46"/>
      <c r="F8" s="173"/>
      <c r="G8" s="174"/>
      <c r="H8" s="152"/>
    </row>
    <row r="9" spans="2:8" s="43" customFormat="1" x14ac:dyDescent="0.3">
      <c r="B9" s="44"/>
      <c r="C9" s="45"/>
      <c r="D9" s="127" t="str">
        <f t="shared" si="0"/>
        <v/>
      </c>
      <c r="E9" s="46"/>
      <c r="F9" s="173"/>
      <c r="G9" s="174"/>
      <c r="H9" s="152"/>
    </row>
    <row r="10" spans="2:8" s="43" customFormat="1" ht="15" thickBot="1" x14ac:dyDescent="0.35">
      <c r="B10" s="44"/>
      <c r="C10" s="47"/>
      <c r="D10" s="128" t="str">
        <f t="shared" si="0"/>
        <v/>
      </c>
      <c r="E10" s="48"/>
      <c r="F10" s="175"/>
      <c r="G10" s="176"/>
      <c r="H10" s="152"/>
    </row>
    <row r="11" spans="2:8" s="43" customFormat="1" ht="15" thickBot="1" x14ac:dyDescent="0.35">
      <c r="B11" s="86" t="s">
        <v>40</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9" t="s">
        <v>38</v>
      </c>
      <c r="G2" s="180"/>
      <c r="H2" s="151"/>
    </row>
    <row r="3" spans="2:8" s="43" customFormat="1" x14ac:dyDescent="0.3">
      <c r="B3" s="40"/>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5"/>
      <c r="C7" s="45"/>
      <c r="D7" s="127"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ht="15" thickBot="1" x14ac:dyDescent="0.35">
      <c r="B10" s="47"/>
      <c r="C10" s="47"/>
      <c r="D10" s="128" t="str">
        <f t="shared" si="0"/>
        <v/>
      </c>
      <c r="E10" s="48"/>
      <c r="F10" s="175"/>
      <c r="G10" s="176"/>
      <c r="H10" s="152"/>
    </row>
    <row r="11" spans="2:8" s="43" customFormat="1" ht="15" thickBot="1" x14ac:dyDescent="0.35">
      <c r="B11" s="135" t="s">
        <v>40</v>
      </c>
      <c r="C11" s="66">
        <f>SUM(C3:C10)</f>
        <v>0</v>
      </c>
      <c r="D11" s="135" t="str">
        <f xml:space="preserve"> setValueToTime(C11)</f>
        <v/>
      </c>
      <c r="E11" s="96"/>
      <c r="F11" s="177"/>
      <c r="G11" s="17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2026-05-08T14:22:32Z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