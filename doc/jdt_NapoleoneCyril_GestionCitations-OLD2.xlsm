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esktop\TPI\doc\"/>
    </mc:Choice>
  </mc:AlternateContent>
  <xr:revisionPtr revIDLastSave="0" documentId="13_ncr:1_{48D2DB7E-E384-4A89-891D-0543412907B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D54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C96" i="10"/>
  <c r="D95" i="10"/>
  <c r="D94" i="10"/>
  <c r="D93" i="10"/>
  <c r="D92" i="10"/>
  <c r="C108" i="10"/>
  <c r="D107" i="10"/>
  <c r="D106" i="10"/>
  <c r="D105" i="10"/>
  <c r="D104" i="10"/>
  <c r="D103" i="10"/>
  <c r="C120" i="10"/>
  <c r="D119" i="10"/>
  <c r="D118" i="10"/>
  <c r="D117" i="10"/>
  <c r="D116" i="10"/>
  <c r="D115" i="10"/>
  <c r="D114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D150" i="10"/>
  <c r="C168" i="10"/>
  <c r="D167" i="10"/>
  <c r="D166" i="10"/>
  <c r="D165" i="10"/>
  <c r="D164" i="10"/>
  <c r="D163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D198" i="10"/>
  <c r="C216" i="10"/>
  <c r="D215" i="10"/>
  <c r="D214" i="10"/>
  <c r="D213" i="10"/>
  <c r="D212" i="10"/>
  <c r="D211" i="10"/>
  <c r="C228" i="10"/>
  <c r="D227" i="10"/>
  <c r="D226" i="10"/>
  <c r="D225" i="10"/>
  <c r="D224" i="10"/>
  <c r="D223" i="10"/>
  <c r="D222" i="10"/>
  <c r="C240" i="10"/>
  <c r="D239" i="10"/>
  <c r="D238" i="10"/>
  <c r="D237" i="10"/>
  <c r="D236" i="10"/>
  <c r="C252" i="10"/>
  <c r="D251" i="10"/>
  <c r="D250" i="10"/>
  <c r="D249" i="10"/>
  <c r="D248" i="10"/>
  <c r="D247" i="10"/>
  <c r="D246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D298" i="10"/>
  <c r="D297" i="10"/>
  <c r="D296" i="10"/>
  <c r="C312" i="10"/>
  <c r="D311" i="10"/>
  <c r="D310" i="10"/>
  <c r="D309" i="10"/>
  <c r="D308" i="10"/>
  <c r="D307" i="10"/>
  <c r="C24" i="12"/>
  <c r="D23" i="12"/>
  <c r="D22" i="12"/>
  <c r="D21" i="12"/>
  <c r="D20" i="12"/>
  <c r="D19" i="12"/>
  <c r="D18" i="12"/>
  <c r="D17" i="12"/>
  <c r="D16" i="12"/>
  <c r="C324" i="10"/>
  <c r="D323" i="10"/>
  <c r="D322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5"/>
  <c r="D11" i="16"/>
  <c r="D5" i="10"/>
  <c r="D4" i="10"/>
  <c r="D18" i="10"/>
  <c r="D17" i="10"/>
  <c r="D16" i="10"/>
  <c r="D28" i="10"/>
  <c r="D42" i="10"/>
  <c r="D41" i="10"/>
  <c r="D40" i="10"/>
  <c r="D53" i="10"/>
  <c r="D52" i="10"/>
  <c r="D65" i="10"/>
  <c r="D64" i="10"/>
  <c r="D79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306" i="10"/>
  <c r="D320" i="10"/>
  <c r="D319" i="10"/>
  <c r="D321" i="10"/>
  <c r="D78" i="10"/>
  <c r="D77" i="10"/>
  <c r="D76" i="10"/>
  <c r="D91" i="10"/>
  <c r="D90" i="10"/>
  <c r="D89" i="10"/>
  <c r="D88" i="10"/>
  <c r="D102" i="10"/>
  <c r="D101" i="10"/>
  <c r="D100" i="10"/>
  <c r="D113" i="10"/>
  <c r="D112" i="10"/>
  <c r="D126" i="10"/>
  <c r="D125" i="10"/>
  <c r="D124" i="10"/>
  <c r="D138" i="10"/>
  <c r="D137" i="10"/>
  <c r="D136" i="10"/>
  <c r="D149" i="10"/>
  <c r="D148" i="10"/>
  <c r="D162" i="10"/>
  <c r="D161" i="10"/>
  <c r="D160" i="10"/>
  <c r="D173" i="10"/>
  <c r="D172" i="10"/>
  <c r="D186" i="10"/>
  <c r="D185" i="10"/>
  <c r="D184" i="10"/>
  <c r="D197" i="10"/>
  <c r="D196" i="10"/>
  <c r="D210" i="10"/>
  <c r="D209" i="10"/>
  <c r="D208" i="10"/>
  <c r="D221" i="10"/>
  <c r="D220" i="10"/>
  <c r="D235" i="10"/>
  <c r="D234" i="10"/>
  <c r="D233" i="10"/>
  <c r="D232" i="10"/>
  <c r="D245" i="10"/>
  <c r="D244" i="10"/>
  <c r="D257" i="10"/>
  <c r="D256" i="10"/>
  <c r="D271" i="10"/>
  <c r="D270" i="10"/>
  <c r="D269" i="10"/>
  <c r="D268" i="10"/>
  <c r="D281" i="10"/>
  <c r="D280" i="10"/>
  <c r="D294" i="10"/>
  <c r="D295" i="10"/>
  <c r="D293" i="10"/>
  <c r="D292" i="10"/>
  <c r="D305" i="10"/>
  <c r="D304" i="10"/>
  <c r="D318" i="10"/>
  <c r="D317" i="10"/>
  <c r="D316" i="10"/>
  <c r="D12" i="12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24" i="12"/>
  <c r="D324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<sst xmlns="http://schemas.openxmlformats.org/spreadsheetml/2006/main" count="720" uniqueCount="100">
  <si>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</si>
  <si>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</si>
  <si>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</si>
  <si>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</si>
  <si>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</si>
  <si>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</si>
  <si>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</si>
  <si>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</si>
  <si>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</si>
  <si>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</si>
  <si>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</si>
  <si>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</si>
  <si>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</si>
  <si>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</si>
  <si>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</si>
  <si>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</si>
  <si>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</si>
  <si>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</si>
  <si>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</si>
  <si>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</si>
  <si>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</si>
  <si>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</si>
  <si>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</si>
  <si>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</si>
  <si>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</si>
  <si>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</si>
  <si>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</si>
  <si>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</si>
  <si>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</si>
  <si>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</si>
  <si>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</si>
  <si>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</si>
  <si>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</si>
  <si>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</si>
  <si>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</si>
  <si>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</si>
  <si>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</si>
  <si>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</si>
  <si>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</si>
  <si>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</si>
  <si>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</si>
  <si>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Visite expert 2</t>
  </si>
  <si>
    <t>Initialisation repo Github</t>
  </si>
  <si>
    <t>TPI</t>
  </si>
  <si>
    <t>Cyril Napoleone</t>
  </si>
  <si>
    <t>A23</t>
  </si>
  <si>
    <t>ETML - Vennes</t>
  </si>
  <si>
    <t>Du 04.05.2026 au 01.06.2026</t>
  </si>
  <si>
    <t>Analyse - Analyse du CDC</t>
  </si>
  <si>
    <t xml:space="preserve">Absences - Imprévus </t>
  </si>
  <si>
    <t>Backend - CRUD movies</t>
  </si>
  <si>
    <t>Backend - CRUD quotes</t>
  </si>
  <si>
    <t>Backend - Gestion auth/users</t>
  </si>
  <si>
    <t>Backend - gestion des erreurs</t>
  </si>
  <si>
    <t>Backend - Initialisation structure Laravel</t>
  </si>
  <si>
    <t>Backend - Rôles et accès</t>
  </si>
  <si>
    <t>Backend - Sécurité</t>
  </si>
  <si>
    <t>Frontend - Bases des pages principales</t>
  </si>
  <si>
    <t>Frontend - gestion des erreurs</t>
  </si>
  <si>
    <t>Frontend - Initialisation structure Angular</t>
  </si>
  <si>
    <t>Frontend - interfaces CRUD (films, citations etc)</t>
  </si>
  <si>
    <t>Frontend - Login/Signup</t>
  </si>
  <si>
    <t>Frontend - Page d'accueil</t>
  </si>
  <si>
    <t>Backend - Système de recherche</t>
  </si>
  <si>
    <t>Backend - Gestion profil</t>
  </si>
  <si>
    <t>Backend - Migrations/Seeders</t>
  </si>
  <si>
    <t>Matin</t>
  </si>
  <si>
    <t>lundi, 4 mai 2026</t>
  </si>
  <si>
    <t>Analyse - MCD/MLD/MPD</t>
  </si>
  <si>
    <t>UX/UI - Maquettes FIGMA / Charte graphique</t>
  </si>
  <si>
    <t>Après-midi</t>
  </si>
  <si>
    <t>Entretien initial expert 1</t>
  </si>
  <si>
    <t>Entretien avec chef de projet</t>
  </si>
  <si>
    <t>Frontend - Interfaces admin / Gestion profil</t>
  </si>
  <si>
    <t>Test - Unitaire &amp; Intégration</t>
  </si>
  <si>
    <t>Backend - Détails/revue et finalistations</t>
  </si>
  <si>
    <t>Frontend - Détails/revue et finalisastions</t>
  </si>
  <si>
    <t>Déploiement - Azure Web App (Backend)</t>
  </si>
  <si>
    <t>Déploiement - Azure DB</t>
  </si>
  <si>
    <t>Déploiement - Azure Static Web App (Frontend)</t>
  </si>
  <si>
    <t>Déploiement - Finalisation/bugfix workflow &amp; CI/CD</t>
  </si>
  <si>
    <t>La date n'est pas exacte car nous ne savons pas quand la visite aura lieu, je la place donc ici à priori</t>
  </si>
  <si>
    <t>Doc - Revue du rapport</t>
  </si>
  <si>
    <t>Préparation livrable et envoi final</t>
  </si>
  <si>
    <t>Séquence 27</t>
  </si>
  <si>
    <t>lundi, 1 juin 2026</t>
  </si>
  <si>
    <t>Séquence 26</t>
  </si>
  <si>
    <t>vendredi, 29 mai 2026</t>
  </si>
  <si>
    <t>Séquence 25</t>
  </si>
  <si>
    <t>Séquence 24</t>
  </si>
  <si>
    <t>jeudi, 28 mai 2026</t>
  </si>
  <si>
    <t>Séquence 8</t>
  </si>
  <si>
    <t>vendredi, 8 mai 2026</t>
  </si>
  <si>
    <t>Séquence 7</t>
  </si>
  <si>
    <t>Séquence 6</t>
  </si>
  <si>
    <t>jeudi, 7 mai 2026</t>
  </si>
  <si>
    <t>Séquence 5</t>
  </si>
  <si>
    <t>Séquence 4</t>
  </si>
  <si>
    <t>mercredi, 6 mai 2026</t>
  </si>
  <si>
    <t>Matin (&lt;9h35)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</si>
</sst>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13" fillId="9" borderId="0" xfId="0" applyFont="1" applyFill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0"/>
              <c:pt idx="0">
                <c:v>Absences - Imprévus </c:v>
              </c:pt>
              <c:pt idx="1">
                <c:v>Analyse - Analyse du CDC</c:v>
              </c:pt>
              <c:pt idx="2">
                <c:v>Analyse - MCD/MLD/MPD</c:v>
              </c:pt>
              <c:pt idx="3">
                <c:v>Analyse - Planification initiale</c:v>
              </c:pt>
              <c:pt idx="4">
                <c:v>Backend - CRUD movies</c:v>
              </c:pt>
              <c:pt idx="5">
                <c:v>Backend - CRUD quotes</c:v>
              </c:pt>
              <c:pt idx="6">
                <c:v>Backend - Gestion auth/users</c:v>
              </c:pt>
              <c:pt idx="7">
                <c:v>Backend - gestion des erreurs</c:v>
              </c:pt>
              <c:pt idx="8">
                <c:v>Backend - Gestion profil</c:v>
              </c:pt>
              <c:pt idx="9">
                <c:v>Backend - Initialisation structure Laravel</c:v>
              </c:pt>
              <c:pt idx="10">
                <c:v>Backend - Migrations/Seeders</c:v>
              </c:pt>
              <c:pt idx="11">
                <c:v>Backend - Rôles et accès</c:v>
              </c:pt>
              <c:pt idx="12">
                <c:v>Backend - Sécurité</c:v>
              </c:pt>
              <c:pt idx="13">
                <c:v>Backend - Système de recherche</c:v>
              </c:pt>
              <c:pt idx="14">
                <c:v>Déploiement - Configuration Azure</c:v>
              </c:pt>
              <c:pt idx="15">
                <c:v>Doc - Journal de travail</c:v>
              </c:pt>
              <c:pt idx="16">
                <c:v>Doc - Rapport</c:v>
              </c:pt>
              <c:pt idx="17">
                <c:v>Entretien avec chef de projet</c:v>
              </c:pt>
              <c:pt idx="18">
                <c:v>Entretien initial expert 1</c:v>
              </c:pt>
              <c:pt idx="19">
                <c:v>Frontend - Bases des pages principales</c:v>
              </c:pt>
              <c:pt idx="20">
                <c:v>Frontend - gestion des erreurs</c:v>
              </c:pt>
              <c:pt idx="21">
                <c:v>Frontend - Initialisation structure Angular</c:v>
              </c:pt>
              <c:pt idx="22">
                <c:v>Frontend - Interfaces admin / Gestion profil</c:v>
              </c:pt>
              <c:pt idx="23">
                <c:v>Frontend - interfaces CRUD (films, citations etc)</c:v>
              </c:pt>
              <c:pt idx="24">
                <c:v>Frontend - Login/Signup</c:v>
              </c:pt>
              <c:pt idx="25">
                <c:v>Frontend - Page d'accueil</c:v>
              </c:pt>
              <c:pt idx="26">
                <c:v>Initialisation repo Github</c:v>
              </c:pt>
              <c:pt idx="27">
                <c:v>Test - Unitaire &amp; Intégration</c:v>
              </c:pt>
              <c:pt idx="28">
                <c:v>UX/UI - Maquettes FIGMA / Charte graphique</c:v>
              </c:pt>
              <c:pt idx="29">
                <c:v>Visite expert 2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3B9-4302-AD54-2FF35C9A800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3B9-4302-AD54-2FF35C9A800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3B9-4302-AD54-2FF35C9A80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81-4B20-B9B8-B750C1A3C24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481-4B20-B9B8-B750C1A3C24A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481-4B20-B9B8-B750C1A3C24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39</xdr:col>
          <xdr:colOff>33619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65942</xdr:rowOff>
    </xdr:from>
    <xdr:to>
      <xdr:col>5</xdr:col>
      <xdr:colOff>170307</xdr:colOff>
      <xdr:row>0</xdr:row>
      <xdr:rowOff>704849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46256" y="65942"/>
          <a:ext cx="6758676" cy="63890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Lundi : Matinée = 4 périodes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36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Après-midi = 3 périodes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27 tranches</a:t>
          </a:r>
          <a:endParaRPr lang="fr-CH">
            <a:effectLst/>
          </a:endParaRPr>
        </a:p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Mercredi - Jeudi : Matinée = 5 périodes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 Après-midi = 4 périodes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36 tranches</a:t>
          </a:r>
        </a:p>
        <a:p>
          <a:r>
            <a:rPr lang="fr-CH" sz="1000" i="1" u="none">
              <a:effectLst/>
            </a:rPr>
            <a:t>(1 période = </a:t>
          </a:r>
          <a:r>
            <a:rPr lang="fr-CH" sz="1000" b="0" i="1" u="none">
              <a:effectLst/>
            </a:rPr>
            <a:t>9 tranches)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N43" sqref="N4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5" t="s">
        <v>0</v>
      </c>
      <c r="C45" s="185"/>
      <c r="D45" s="185"/>
      <c r="E45" s="139"/>
      <c r="G45" s="186" t="s">
        <v>1</v>
      </c>
      <c r="H45" s="186"/>
      <c r="I45" s="186"/>
      <c r="J45" s="140"/>
      <c r="L45" s="187" t="s">
        <v>2</v>
      </c>
      <c r="M45" s="187"/>
      <c r="N45" s="188"/>
      <c r="O45" s="189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zoomScale="10" zoomScaleNormal="10" zoomScaleSheetLayoutView="43" workbookViewId="0"/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65.85546875" style="2" customWidth="1"/>
    <col min="4" max="4" width="15" style="2" customWidth="1"/>
    <col min="5" max="5" width="29.28515625" style="2" customWidth="1"/>
    <col min="6" max="1325" width="1.140625" style="2" customWidth="1"/>
    <col min="1326" max="1326" width="2.7109375" style="2" customWidth="1"/>
    <col min="1327" max="16384" width="11.42578125" style="2"/>
  </cols>
  <sheetData>
    <row r="1" spans="1:1566" ht="35.1" customHeight="1" x14ac:dyDescent="0.25">
      <c r="B1" s="141"/>
      <c r="C1" s="170" t="s">
        <v>3</v>
      </c>
      <c r="D1" s="170"/>
      <c r="E1" s="17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3"/>
    </row>
    <row r="3" spans="1:1566" ht="30" customHeight="1" x14ac:dyDescent="0.25">
      <c r="B3" s="51"/>
      <c r="C3" s="5" t="s">
        <v>4</v>
      </c>
      <c r="D3" s="113"/>
      <c r="E3" s="6" t="s">
        <v>43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3"/>
    </row>
    <row r="4" spans="1:1566" ht="30" customHeight="1" x14ac:dyDescent="0.25">
      <c r="B4" s="51"/>
      <c r="C4" s="9" t="s">
        <v>5</v>
      </c>
      <c r="D4" s="114"/>
      <c r="E4" s="10" t="s">
        <v>44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3"/>
    </row>
    <row r="5" spans="1:1566" ht="30" customHeight="1" x14ac:dyDescent="0.25">
      <c r="B5" s="51"/>
      <c r="C5" s="9" t="s">
        <v>6</v>
      </c>
      <c r="D5" s="114"/>
      <c r="E5" s="10" t="s">
        <v>45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3"/>
    </row>
    <row r="6" spans="1:1566" ht="30" customHeight="1" thickBot="1" x14ac:dyDescent="0.3">
      <c r="B6" s="51"/>
      <c r="C6" s="13" t="s">
        <v>7</v>
      </c>
      <c r="D6" s="115"/>
      <c r="E6" s="14" t="s">
        <v>46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3"/>
    </row>
    <row r="7" spans="1:1566" ht="20.100000000000001" customHeight="1" thickBot="1" x14ac:dyDescent="0.3">
      <c r="B7" s="51"/>
      <c r="C7" s="171"/>
      <c r="D7" s="171"/>
      <c r="E7" s="17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3"/>
    </row>
    <row r="8" spans="1:1566" ht="30" customHeight="1" x14ac:dyDescent="0.25">
      <c r="B8" s="51"/>
      <c r="C8" s="5" t="s">
        <v>8</v>
      </c>
      <c r="D8" s="113"/>
      <c r="E8" s="6" t="s">
        <v>47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3"/>
    </row>
    <row r="9" spans="1:1566" ht="30" customHeight="1" x14ac:dyDescent="0.25">
      <c r="B9" s="51"/>
      <c r="C9" s="9" t="s">
        <v>9</v>
      </c>
      <c r="D9" s="114"/>
      <c r="E9" s="10" t="s">
        <v>10</v>
      </c>
      <c r="F9" s="11"/>
      <c r="G9" s="155" t="e">
        <f>E96</f>
        <v>#NUM!</v>
      </c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94"/>
      <c r="W9" s="156" t="s">
        <v>11</v>
      </c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5" t="e">
        <f>E98</f>
        <v>#NUM!</v>
      </c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54"/>
      <c r="BO10" s="154"/>
      <c r="BP10" s="154"/>
      <c r="BQ10" s="154"/>
      <c r="BR10" s="154"/>
      <c r="BS10" s="154"/>
      <c r="BT10" s="154"/>
      <c r="BU10" s="154"/>
      <c r="BV10" s="154"/>
      <c r="BW10" s="154"/>
      <c r="BX10" s="154"/>
      <c r="BY10" s="154"/>
      <c r="BZ10" s="154"/>
      <c r="CA10" s="154"/>
      <c r="CB10" s="154"/>
      <c r="CC10" s="154"/>
      <c r="CD10" s="154"/>
      <c r="CE10" s="154"/>
      <c r="CF10" s="154"/>
      <c r="CG10" s="154"/>
      <c r="CH10" s="154"/>
      <c r="CI10" s="154"/>
      <c r="CJ10" s="154"/>
      <c r="CK10" s="154"/>
      <c r="CL10" s="154"/>
      <c r="CM10" s="154"/>
      <c r="CN10" s="154"/>
      <c r="CO10" s="154"/>
      <c r="CP10" s="154"/>
      <c r="CQ10" s="75"/>
      <c r="CR10" s="153"/>
      <c r="CS10" s="153"/>
      <c r="CT10" s="153"/>
      <c r="CU10" s="153"/>
      <c r="CV10" s="153"/>
      <c r="CW10" s="153"/>
      <c r="CX10" s="153"/>
      <c r="CY10" s="153"/>
      <c r="CZ10" s="153"/>
      <c r="DA10" s="153"/>
      <c r="DB10" s="153"/>
      <c r="DC10" s="153"/>
      <c r="DD10" s="153"/>
      <c r="DE10" s="153"/>
      <c r="DF10" s="153"/>
      <c r="DG10" s="153"/>
      <c r="DH10" s="153"/>
      <c r="DI10" s="153"/>
      <c r="DJ10" s="153"/>
      <c r="DK10" s="153"/>
      <c r="DL10" s="153"/>
      <c r="DM10" s="153"/>
      <c r="DN10" s="153"/>
      <c r="DO10" s="153"/>
      <c r="DP10" s="153"/>
      <c r="DQ10" s="153"/>
      <c r="DR10" s="153"/>
      <c r="DS10" s="153"/>
      <c r="DT10" s="153"/>
      <c r="DU10" s="153"/>
      <c r="DV10" s="153"/>
      <c r="DW10" s="153"/>
      <c r="DX10" s="153"/>
      <c r="DY10" s="153"/>
      <c r="DZ10" s="153"/>
      <c r="EA10" s="153"/>
      <c r="EB10" s="153"/>
      <c r="EC10" s="153"/>
      <c r="ED10" s="153"/>
      <c r="EE10" s="153"/>
      <c r="EF10" s="153"/>
      <c r="EG10" s="153"/>
      <c r="EH10" s="153"/>
      <c r="EI10" s="153"/>
      <c r="EJ10" s="153"/>
      <c r="EK10" s="153"/>
      <c r="EL10" s="153"/>
      <c r="EM10" s="153"/>
      <c r="EN10" s="153"/>
      <c r="EO10" s="153"/>
      <c r="EP10" s="153"/>
      <c r="EQ10" s="153"/>
      <c r="ER10" s="153"/>
      <c r="ES10" s="153"/>
      <c r="ET10" s="153"/>
      <c r="EU10" s="153"/>
      <c r="EV10" s="153"/>
      <c r="EW10" s="153"/>
      <c r="EX10" s="153"/>
      <c r="EY10" s="153"/>
      <c r="EZ10" s="153"/>
      <c r="FA10" s="153"/>
      <c r="FB10" s="153"/>
      <c r="FC10" s="153"/>
      <c r="FD10" s="153"/>
      <c r="FE10" s="153"/>
      <c r="FF10" s="153"/>
      <c r="FG10" s="153"/>
      <c r="FH10" s="153"/>
      <c r="FI10" s="153"/>
      <c r="FJ10" s="153"/>
      <c r="FK10" s="153"/>
      <c r="FL10" s="153"/>
      <c r="FM10" s="153"/>
      <c r="FN10" s="153"/>
      <c r="FO10" s="153"/>
      <c r="FP10" s="153"/>
      <c r="FQ10" s="153"/>
      <c r="FR10" s="153"/>
      <c r="FS10" s="153"/>
      <c r="FT10" s="153"/>
      <c r="FU10" s="153"/>
      <c r="FV10" s="153"/>
      <c r="FW10" s="153"/>
      <c r="FX10" s="153"/>
      <c r="FY10" s="153"/>
      <c r="FZ10" s="153"/>
      <c r="GA10" s="153"/>
      <c r="GB10" s="153"/>
      <c r="GC10" s="153"/>
      <c r="GD10" s="153"/>
      <c r="GE10" s="153"/>
      <c r="GF10" s="153"/>
      <c r="GG10" s="153"/>
      <c r="GH10" s="153"/>
      <c r="GI10" s="153"/>
      <c r="GJ10" s="153"/>
      <c r="GK10" s="153"/>
      <c r="GL10" s="153"/>
      <c r="GM10" s="153"/>
      <c r="GN10" s="153"/>
      <c r="GO10" s="153"/>
      <c r="GP10" s="153"/>
      <c r="GQ10" s="153"/>
      <c r="GR10" s="153"/>
      <c r="GS10" s="153"/>
      <c r="GT10" s="153"/>
      <c r="GU10" s="153"/>
      <c r="GV10" s="153"/>
      <c r="GW10" s="153"/>
      <c r="GX10" s="153"/>
      <c r="GY10" s="153"/>
      <c r="GZ10" s="153"/>
      <c r="HA10" s="153"/>
      <c r="HB10" s="153"/>
      <c r="HC10" s="153"/>
      <c r="HD10" s="153"/>
      <c r="HE10" s="153"/>
      <c r="HF10" s="153"/>
      <c r="HG10" s="153"/>
      <c r="HH10" s="153"/>
      <c r="HI10" s="153"/>
      <c r="HJ10" s="153"/>
      <c r="HK10" s="153"/>
      <c r="HL10" s="153"/>
      <c r="HM10" s="153"/>
      <c r="HN10" s="153"/>
      <c r="HO10" s="153"/>
      <c r="HP10" s="153"/>
      <c r="HQ10" s="153"/>
      <c r="HR10" s="153"/>
      <c r="HS10" s="153"/>
      <c r="HT10" s="153"/>
      <c r="HU10" s="153"/>
      <c r="HV10" s="153"/>
      <c r="HW10" s="153"/>
      <c r="HX10" s="153"/>
      <c r="HY10" s="153"/>
      <c r="HZ10" s="153"/>
      <c r="IA10" s="153"/>
      <c r="IB10" s="153"/>
      <c r="IC10" s="153"/>
      <c r="ID10" s="153"/>
      <c r="IE10" s="153"/>
      <c r="IF10" s="153"/>
      <c r="IG10" s="153"/>
      <c r="IH10" s="153"/>
      <c r="II10" s="153"/>
      <c r="IJ10" s="153"/>
      <c r="IK10" s="153"/>
      <c r="IL10" s="153"/>
      <c r="IM10" s="153"/>
      <c r="IN10" s="153"/>
      <c r="IO10" s="153"/>
      <c r="IP10" s="153"/>
      <c r="IQ10" s="153"/>
      <c r="IR10" s="153"/>
      <c r="IS10" s="153"/>
      <c r="IT10" s="153"/>
      <c r="IU10" s="153"/>
      <c r="IV10" s="153"/>
      <c r="IW10" s="153"/>
      <c r="IX10" s="153"/>
      <c r="IY10" s="153"/>
      <c r="IZ10" s="153"/>
      <c r="JA10" s="153"/>
      <c r="JB10" s="153"/>
      <c r="JC10" s="153"/>
      <c r="JD10" s="153"/>
      <c r="JE10" s="153"/>
      <c r="JF10" s="153"/>
      <c r="JG10" s="153"/>
      <c r="JH10" s="153"/>
      <c r="JI10" s="153"/>
      <c r="JJ10" s="153"/>
      <c r="JK10" s="153"/>
      <c r="JL10" s="153"/>
      <c r="JM10" s="153"/>
      <c r="JN10" s="153"/>
      <c r="JO10" s="153"/>
      <c r="JP10" s="153"/>
      <c r="JQ10" s="153"/>
      <c r="JR10" s="153"/>
      <c r="JS10" s="153"/>
      <c r="JT10" s="153"/>
      <c r="JU10" s="153"/>
      <c r="JV10" s="153"/>
      <c r="JW10" s="153"/>
      <c r="JX10" s="153"/>
      <c r="JY10" s="153"/>
      <c r="JZ10" s="153"/>
      <c r="KA10" s="153"/>
      <c r="KB10" s="153"/>
      <c r="KC10" s="153"/>
      <c r="KD10" s="153"/>
      <c r="KE10" s="153"/>
      <c r="KF10" s="153"/>
      <c r="KG10" s="153"/>
      <c r="KH10" s="153"/>
      <c r="KI10" s="153"/>
      <c r="KJ10" s="153"/>
      <c r="KK10" s="153"/>
      <c r="KL10" s="153"/>
      <c r="KM10" s="153"/>
      <c r="KN10" s="153"/>
      <c r="KO10" s="153"/>
      <c r="KP10" s="153"/>
      <c r="KQ10" s="153"/>
      <c r="KR10" s="153"/>
      <c r="KS10" s="153"/>
      <c r="KT10" s="153"/>
      <c r="KU10" s="153"/>
      <c r="KV10" s="153"/>
      <c r="KW10" s="153"/>
      <c r="KX10" s="153"/>
      <c r="KY10" s="153"/>
      <c r="KZ10" s="153"/>
      <c r="LA10" s="153"/>
      <c r="LB10" s="153"/>
      <c r="LC10" s="153"/>
      <c r="LD10" s="153"/>
      <c r="LE10" s="153"/>
      <c r="LF10" s="153"/>
      <c r="LG10" s="153"/>
      <c r="LH10" s="153"/>
      <c r="LI10" s="153"/>
      <c r="LJ10" s="153"/>
      <c r="LK10" s="153"/>
      <c r="LL10" s="153"/>
      <c r="LM10" s="153"/>
      <c r="LN10" s="153"/>
      <c r="LO10" s="153"/>
      <c r="LP10" s="153"/>
      <c r="LQ10" s="153"/>
      <c r="LR10" s="153"/>
      <c r="LS10" s="153"/>
      <c r="LT10" s="153"/>
      <c r="LU10" s="153"/>
      <c r="LV10" s="153"/>
      <c r="LW10" s="153"/>
      <c r="LX10" s="153"/>
      <c r="LY10" s="153"/>
      <c r="LZ10" s="153"/>
      <c r="MA10" s="153"/>
      <c r="MB10" s="153"/>
      <c r="MC10" s="153"/>
      <c r="MD10" s="153"/>
      <c r="ME10" s="153"/>
      <c r="MF10" s="153"/>
      <c r="MG10" s="153"/>
      <c r="MH10" s="153"/>
      <c r="MI10" s="153"/>
      <c r="MJ10" s="153"/>
      <c r="MK10" s="153"/>
      <c r="ML10" s="153"/>
      <c r="MM10" s="153"/>
      <c r="MN10" s="153"/>
      <c r="MO10" s="153"/>
      <c r="MP10" s="153"/>
      <c r="MQ10" s="153"/>
      <c r="MR10" s="153"/>
      <c r="MS10" s="153"/>
      <c r="MT10" s="153"/>
      <c r="MU10" s="153"/>
      <c r="MV10" s="153"/>
      <c r="MW10" s="153"/>
      <c r="MX10" s="153"/>
      <c r="MY10" s="153"/>
      <c r="MZ10" s="153"/>
      <c r="NA10" s="153"/>
      <c r="NB10" s="153"/>
      <c r="NC10" s="153"/>
      <c r="ND10" s="153"/>
      <c r="NE10" s="153"/>
      <c r="NF10" s="153"/>
      <c r="NG10" s="153"/>
      <c r="NH10" s="153"/>
      <c r="NI10" s="153"/>
      <c r="NJ10" s="153"/>
      <c r="NK10" s="153"/>
      <c r="NL10" s="153"/>
      <c r="NM10" s="153"/>
      <c r="NN10" s="153"/>
      <c r="NO10" s="153"/>
      <c r="NP10" s="153"/>
      <c r="NQ10" s="153"/>
      <c r="NR10" s="153"/>
      <c r="NS10" s="153"/>
      <c r="NT10" s="153"/>
      <c r="NU10" s="153"/>
      <c r="NV10" s="153"/>
      <c r="NW10" s="153"/>
      <c r="NX10" s="153"/>
      <c r="NY10" s="153"/>
      <c r="NZ10" s="153"/>
      <c r="OA10" s="153"/>
      <c r="OB10" s="153"/>
      <c r="OC10" s="153"/>
      <c r="OD10" s="153"/>
      <c r="OE10" s="153"/>
      <c r="OF10" s="153"/>
      <c r="OG10" s="153"/>
      <c r="OH10" s="153"/>
      <c r="OI10" s="153"/>
      <c r="OJ10" s="153"/>
      <c r="OK10" s="153"/>
      <c r="OL10" s="153"/>
      <c r="OM10" s="153"/>
      <c r="ON10" s="153"/>
      <c r="OO10" s="153"/>
      <c r="OP10" s="153"/>
      <c r="OQ10" s="153"/>
      <c r="OR10" s="153"/>
      <c r="OS10" s="153"/>
      <c r="OT10" s="153"/>
      <c r="OU10" s="153"/>
      <c r="OV10" s="153"/>
      <c r="OW10" s="153"/>
      <c r="OX10" s="153"/>
      <c r="OY10" s="153"/>
      <c r="OZ10" s="153"/>
      <c r="PA10" s="153"/>
      <c r="PB10" s="153"/>
      <c r="PC10" s="153"/>
      <c r="PD10" s="153"/>
      <c r="PE10" s="153"/>
      <c r="PF10" s="153"/>
      <c r="PG10" s="153"/>
      <c r="PH10" s="153"/>
      <c r="PI10" s="153"/>
      <c r="PJ10" s="153"/>
      <c r="PK10" s="153"/>
      <c r="PL10" s="153"/>
      <c r="PM10" s="153"/>
      <c r="PN10" s="153"/>
      <c r="PO10" s="153"/>
      <c r="PP10" s="153"/>
      <c r="PQ10" s="153"/>
      <c r="PR10" s="153"/>
      <c r="PS10" s="153"/>
      <c r="PT10" s="153"/>
      <c r="PU10" s="153"/>
      <c r="PV10" s="153"/>
      <c r="PW10" s="153"/>
      <c r="PX10" s="153"/>
      <c r="PY10" s="153"/>
      <c r="PZ10" s="153"/>
      <c r="QA10" s="153"/>
      <c r="QB10" s="153"/>
      <c r="QC10" s="153"/>
      <c r="QD10" s="153"/>
      <c r="QE10" s="153"/>
      <c r="QF10" s="153"/>
      <c r="QG10" s="153"/>
      <c r="QH10" s="153"/>
      <c r="QI10" s="153"/>
      <c r="QJ10" s="153"/>
      <c r="QK10" s="153"/>
      <c r="QL10" s="153"/>
      <c r="QM10" s="153"/>
      <c r="QN10" s="153"/>
      <c r="QO10" s="153"/>
      <c r="QP10" s="153"/>
      <c r="QQ10" s="153"/>
      <c r="QR10" s="153"/>
      <c r="QS10" s="153"/>
      <c r="QT10" s="153"/>
      <c r="QU10" s="153"/>
      <c r="QV10" s="153"/>
      <c r="QW10" s="153"/>
      <c r="QX10" s="153"/>
      <c r="QY10" s="153"/>
      <c r="QZ10" s="153"/>
      <c r="RA10" s="153"/>
      <c r="RB10" s="153"/>
      <c r="RC10" s="153"/>
      <c r="RD10" s="153"/>
      <c r="RE10" s="153"/>
      <c r="RF10" s="153"/>
      <c r="RG10" s="153"/>
      <c r="RH10" s="153"/>
      <c r="RI10" s="153"/>
      <c r="RJ10" s="153"/>
      <c r="RK10" s="153"/>
      <c r="RL10" s="153"/>
      <c r="RM10" s="153"/>
      <c r="RN10" s="153"/>
      <c r="RO10" s="153"/>
      <c r="RP10" s="153"/>
      <c r="RQ10" s="153"/>
      <c r="RR10" s="153"/>
      <c r="RS10" s="153"/>
      <c r="RT10" s="153"/>
      <c r="RU10" s="153"/>
      <c r="RV10" s="153"/>
      <c r="RW10" s="153"/>
      <c r="RX10" s="153"/>
      <c r="RY10" s="153"/>
      <c r="RZ10" s="153"/>
      <c r="SA10" s="153"/>
      <c r="SB10" s="153"/>
      <c r="SC10" s="153"/>
      <c r="SD10" s="153"/>
      <c r="SE10" s="153"/>
      <c r="SF10" s="153"/>
      <c r="SG10" s="153"/>
      <c r="SH10" s="153"/>
      <c r="SI10" s="153"/>
      <c r="SJ10" s="153"/>
      <c r="SK10" s="153"/>
      <c r="SL10" s="153"/>
      <c r="SM10" s="153"/>
      <c r="SN10" s="153"/>
      <c r="SO10" s="153"/>
      <c r="SP10" s="153"/>
      <c r="SQ10" s="153"/>
      <c r="SR10" s="153"/>
      <c r="SS10" s="153"/>
      <c r="ST10" s="153"/>
      <c r="SU10" s="153"/>
      <c r="SV10" s="153"/>
      <c r="SW10" s="153"/>
      <c r="SX10" s="153"/>
      <c r="SY10" s="153"/>
      <c r="SZ10" s="153"/>
      <c r="TA10" s="153"/>
      <c r="TB10" s="153"/>
      <c r="TC10" s="153"/>
      <c r="TD10" s="153"/>
      <c r="TE10" s="153"/>
      <c r="TF10" s="153"/>
      <c r="TG10" s="153"/>
      <c r="TH10" s="153"/>
      <c r="TI10" s="153"/>
      <c r="TJ10" s="153"/>
      <c r="TK10" s="153"/>
      <c r="TL10" s="153"/>
      <c r="TM10" s="153"/>
      <c r="TN10" s="153"/>
      <c r="TO10" s="153"/>
      <c r="TP10" s="153"/>
      <c r="TQ10" s="153"/>
      <c r="TR10" s="153"/>
      <c r="TS10" s="153"/>
      <c r="TT10" s="153"/>
      <c r="TU10" s="153"/>
      <c r="TV10" s="153"/>
      <c r="TW10" s="153"/>
      <c r="TX10" s="153"/>
      <c r="TY10" s="153"/>
      <c r="TZ10" s="153"/>
      <c r="UA10" s="153"/>
      <c r="UB10" s="153"/>
      <c r="UC10" s="153"/>
      <c r="UD10" s="153"/>
      <c r="UE10" s="153"/>
      <c r="UF10" s="153"/>
      <c r="UG10" s="153"/>
      <c r="UH10" s="153"/>
      <c r="UI10" s="153"/>
      <c r="UJ10" s="153"/>
      <c r="UK10" s="153"/>
      <c r="UL10" s="153"/>
      <c r="UM10" s="153"/>
      <c r="UN10" s="153"/>
      <c r="UO10" s="153"/>
      <c r="UP10" s="153"/>
      <c r="UQ10" s="153"/>
      <c r="UR10" s="153"/>
      <c r="US10" s="153"/>
      <c r="UT10" s="153"/>
      <c r="UU10" s="153"/>
      <c r="UV10" s="153"/>
      <c r="UW10" s="153"/>
      <c r="UX10" s="153"/>
      <c r="UY10" s="153"/>
      <c r="UZ10" s="153"/>
      <c r="VA10" s="153"/>
      <c r="VB10" s="153"/>
      <c r="VC10" s="153"/>
      <c r="VD10" s="153"/>
      <c r="VE10" s="153"/>
      <c r="VF10" s="153"/>
      <c r="VG10" s="153"/>
      <c r="VH10" s="153"/>
      <c r="VI10" s="153"/>
      <c r="VJ10" s="153"/>
      <c r="VK10" s="153"/>
      <c r="VL10" s="153"/>
      <c r="VM10" s="153"/>
      <c r="VN10" s="153"/>
      <c r="VO10" s="153"/>
      <c r="VP10" s="153"/>
      <c r="VQ10" s="153"/>
      <c r="VR10" s="153"/>
      <c r="VS10" s="153"/>
      <c r="VT10" s="153"/>
      <c r="VU10" s="153"/>
      <c r="VV10" s="153"/>
      <c r="VW10" s="153"/>
      <c r="VX10" s="153"/>
      <c r="VY10" s="153"/>
      <c r="VZ10" s="153"/>
      <c r="WA10" s="153"/>
      <c r="WB10" s="153"/>
      <c r="WC10" s="153"/>
      <c r="WD10" s="153"/>
      <c r="WE10" s="153"/>
      <c r="WF10" s="153"/>
      <c r="WG10" s="153"/>
      <c r="WH10" s="153"/>
      <c r="WI10" s="153"/>
      <c r="WJ10" s="153"/>
      <c r="WK10" s="153"/>
      <c r="WL10" s="153"/>
      <c r="WM10" s="153"/>
      <c r="WN10" s="153"/>
      <c r="WO10" s="153"/>
      <c r="WP10" s="153"/>
      <c r="WQ10" s="153"/>
      <c r="WR10" s="153"/>
      <c r="WS10" s="153"/>
      <c r="WT10" s="153"/>
      <c r="WU10" s="153"/>
      <c r="WV10" s="153"/>
      <c r="WW10" s="153"/>
      <c r="WX10" s="153"/>
      <c r="WY10" s="153"/>
      <c r="WZ10" s="153"/>
      <c r="XA10" s="153"/>
      <c r="XB10" s="153"/>
      <c r="XC10" s="153"/>
      <c r="XD10" s="153"/>
      <c r="XE10" s="153"/>
      <c r="XF10" s="153"/>
      <c r="XG10" s="153"/>
      <c r="XH10" s="153"/>
      <c r="XI10" s="153"/>
      <c r="XJ10" s="153"/>
      <c r="XK10" s="153"/>
      <c r="XL10" s="153"/>
      <c r="XM10" s="153"/>
      <c r="XN10" s="153"/>
      <c r="XO10" s="153"/>
      <c r="XP10" s="153"/>
      <c r="XQ10" s="153"/>
      <c r="XR10" s="153"/>
      <c r="XS10" s="153"/>
      <c r="XT10" s="153"/>
      <c r="XU10" s="153"/>
      <c r="XV10" s="153"/>
      <c r="XW10" s="153"/>
      <c r="XX10" s="153"/>
      <c r="XY10" s="153"/>
      <c r="XZ10" s="153"/>
      <c r="YA10" s="153"/>
      <c r="YB10" s="153"/>
      <c r="YC10" s="153"/>
      <c r="YD10" s="153"/>
      <c r="YE10" s="153"/>
      <c r="YF10" s="153"/>
      <c r="YG10" s="153"/>
      <c r="YH10" s="153"/>
      <c r="YI10" s="153"/>
      <c r="YJ10" s="153"/>
      <c r="YK10" s="153"/>
      <c r="YL10" s="153"/>
      <c r="YM10" s="153"/>
      <c r="YN10" s="153"/>
      <c r="YO10" s="153"/>
      <c r="YP10" s="153"/>
      <c r="YQ10" s="153"/>
      <c r="YR10" s="153"/>
      <c r="YS10" s="153"/>
      <c r="YT10" s="153"/>
      <c r="YU10" s="153"/>
      <c r="YV10" s="153"/>
      <c r="YW10" s="153"/>
      <c r="YX10" s="153"/>
      <c r="YY10" s="153"/>
      <c r="YZ10" s="153"/>
      <c r="ZA10" s="153"/>
      <c r="ZB10" s="153"/>
      <c r="ZC10" s="153"/>
      <c r="ZD10" s="153"/>
      <c r="ZE10" s="153"/>
      <c r="ZF10" s="153"/>
      <c r="ZG10" s="153"/>
      <c r="ZH10" s="153"/>
      <c r="ZI10" s="153"/>
      <c r="ZJ10" s="153"/>
      <c r="ZK10" s="153"/>
      <c r="ZL10" s="153"/>
      <c r="ZM10" s="153"/>
      <c r="ZN10" s="153"/>
      <c r="ZO10" s="153"/>
      <c r="ZP10" s="153"/>
      <c r="ZQ10" s="153"/>
      <c r="ZR10" s="153"/>
      <c r="ZS10" s="153"/>
      <c r="ZT10" s="153"/>
      <c r="ZU10" s="153"/>
      <c r="ZV10" s="153"/>
      <c r="ZW10" s="153"/>
      <c r="ZX10" s="153"/>
      <c r="ZY10" s="153"/>
      <c r="ZZ10" s="153"/>
      <c r="AAA10" s="153"/>
      <c r="AAB10" s="153"/>
      <c r="AAC10" s="153"/>
      <c r="AAD10" s="153"/>
      <c r="AAE10" s="153"/>
      <c r="AAF10" s="153"/>
      <c r="AAG10" s="153"/>
      <c r="AAH10" s="153"/>
      <c r="AAI10" s="153"/>
      <c r="AAJ10" s="153"/>
      <c r="AAK10" s="153"/>
      <c r="AAL10" s="153"/>
      <c r="AAM10" s="153"/>
      <c r="AAN10" s="153"/>
      <c r="AAO10" s="153"/>
      <c r="AAP10" s="153"/>
      <c r="AAQ10" s="153"/>
      <c r="AAR10" s="153"/>
      <c r="AAS10" s="153"/>
      <c r="AAT10" s="153"/>
      <c r="AAU10" s="153"/>
      <c r="AAV10" s="153"/>
      <c r="AAW10" s="153"/>
      <c r="AAX10" s="153"/>
      <c r="AAY10" s="153"/>
      <c r="AAZ10" s="153"/>
      <c r="ABA10" s="153"/>
      <c r="ABB10" s="153"/>
      <c r="ABC10" s="153"/>
      <c r="ABD10" s="153"/>
      <c r="ABE10" s="153"/>
      <c r="ABF10" s="153"/>
      <c r="ABG10" s="153"/>
      <c r="ABH10" s="153"/>
      <c r="ABI10" s="153"/>
      <c r="ABJ10" s="153"/>
      <c r="ABK10" s="153"/>
      <c r="ABL10" s="153"/>
      <c r="ABM10" s="153"/>
      <c r="ABN10" s="153"/>
      <c r="ABO10" s="153"/>
      <c r="ABP10" s="153"/>
      <c r="ABQ10" s="153"/>
      <c r="ABR10" s="153"/>
      <c r="ABS10" s="153"/>
      <c r="ABT10" s="153"/>
      <c r="ABU10" s="153"/>
      <c r="ABV10" s="153"/>
      <c r="ABW10" s="153"/>
      <c r="ABX10" s="153"/>
      <c r="ABY10" s="153"/>
      <c r="ABZ10" s="153"/>
      <c r="ACA10" s="153"/>
      <c r="ACB10" s="153"/>
      <c r="ACC10" s="153"/>
      <c r="ACD10" s="153"/>
      <c r="ACE10" s="153"/>
      <c r="ACF10" s="153"/>
      <c r="ACG10" s="153"/>
      <c r="ACH10" s="153"/>
      <c r="ACI10" s="153"/>
      <c r="ACJ10" s="153"/>
      <c r="ACK10" s="153"/>
      <c r="ACL10" s="153"/>
      <c r="ACM10" s="153"/>
      <c r="ACN10" s="153"/>
      <c r="ACO10" s="153"/>
      <c r="ACP10" s="153"/>
      <c r="ACQ10" s="153"/>
      <c r="ACR10" s="153"/>
      <c r="ACS10" s="153"/>
      <c r="ACT10" s="153"/>
      <c r="ACU10" s="153"/>
      <c r="ACV10" s="153"/>
      <c r="ACW10" s="153"/>
      <c r="ACX10" s="153"/>
      <c r="ACY10" s="153"/>
      <c r="ACZ10" s="153"/>
      <c r="ADA10" s="153"/>
      <c r="ADB10" s="153"/>
      <c r="ADC10" s="153"/>
      <c r="ADD10" s="153"/>
      <c r="ADE10" s="153"/>
      <c r="ADF10" s="153"/>
      <c r="ADG10" s="153"/>
      <c r="ADH10" s="153"/>
      <c r="ADI10" s="153"/>
      <c r="ADJ10" s="153"/>
      <c r="ADK10" s="153"/>
      <c r="ADL10" s="153"/>
      <c r="ADM10" s="153"/>
      <c r="ADN10" s="153"/>
      <c r="ADO10" s="153"/>
      <c r="ADP10" s="153"/>
      <c r="ADQ10" s="153"/>
      <c r="ADR10" s="153"/>
      <c r="ADS10" s="153"/>
      <c r="ADT10" s="153"/>
      <c r="ADU10" s="153"/>
      <c r="ADV10" s="153"/>
      <c r="ADW10" s="153"/>
      <c r="ADX10" s="153"/>
      <c r="ADY10" s="153"/>
      <c r="ADZ10" s="153"/>
      <c r="AEA10" s="153"/>
      <c r="AEB10" s="153"/>
      <c r="AEC10" s="153"/>
      <c r="AED10" s="153"/>
      <c r="AEE10" s="153"/>
      <c r="AEF10" s="153"/>
      <c r="AEG10" s="153"/>
      <c r="AEH10" s="153"/>
      <c r="AEI10" s="153"/>
      <c r="AEJ10" s="153"/>
      <c r="AEK10" s="153"/>
      <c r="AEL10" s="153"/>
      <c r="AEM10" s="153"/>
      <c r="AEN10" s="153"/>
      <c r="AEO10" s="153"/>
      <c r="AEP10" s="153"/>
      <c r="AEQ10" s="153"/>
      <c r="AER10" s="153"/>
      <c r="AES10" s="153"/>
      <c r="AET10" s="153"/>
      <c r="AEU10" s="153"/>
      <c r="AEV10" s="153"/>
      <c r="AEW10" s="153"/>
      <c r="AEX10" s="153"/>
      <c r="AEY10" s="153"/>
      <c r="AEZ10" s="153"/>
      <c r="AFA10" s="153"/>
      <c r="AFB10" s="153"/>
      <c r="AFC10" s="153"/>
      <c r="AFD10" s="153"/>
      <c r="AFE10" s="153"/>
      <c r="AFF10" s="153"/>
      <c r="AFG10" s="153"/>
      <c r="AFH10" s="153"/>
      <c r="AFI10" s="153"/>
      <c r="AFJ10" s="153"/>
      <c r="AFK10" s="153"/>
      <c r="AFL10" s="153"/>
      <c r="AFM10" s="153"/>
      <c r="AFN10" s="153"/>
      <c r="AFO10" s="153"/>
      <c r="AFP10" s="153"/>
      <c r="AFQ10" s="153"/>
      <c r="AFR10" s="153"/>
      <c r="AFS10" s="153"/>
      <c r="AFT10" s="153"/>
      <c r="AFU10" s="153"/>
      <c r="AFV10" s="153"/>
      <c r="AFW10" s="153"/>
      <c r="AFX10" s="153"/>
      <c r="AFY10" s="153"/>
      <c r="AFZ10" s="153"/>
      <c r="AGA10" s="153"/>
      <c r="AGB10" s="153"/>
      <c r="AGC10" s="153"/>
      <c r="AGD10" s="153"/>
      <c r="AGE10" s="153"/>
      <c r="AGF10" s="153"/>
      <c r="AGG10" s="153"/>
      <c r="AGH10" s="153"/>
      <c r="AGI10" s="153"/>
      <c r="AGJ10" s="153"/>
      <c r="AGK10" s="153"/>
      <c r="AGL10" s="153"/>
      <c r="AGM10" s="153"/>
      <c r="AGN10" s="153"/>
      <c r="AGO10" s="153"/>
      <c r="AGP10" s="153"/>
      <c r="AGQ10" s="153"/>
      <c r="AGR10" s="153"/>
      <c r="AGS10" s="153"/>
      <c r="AGT10" s="153"/>
      <c r="AGU10" s="153"/>
      <c r="AGV10" s="153"/>
      <c r="AGW10" s="153"/>
      <c r="AGX10" s="153"/>
      <c r="AGY10" s="153"/>
      <c r="AGZ10" s="153"/>
      <c r="AHA10" s="153"/>
      <c r="AHB10" s="153"/>
      <c r="AHC10" s="153"/>
      <c r="AHD10" s="153"/>
      <c r="AHE10" s="153"/>
      <c r="AHF10" s="153"/>
      <c r="AHG10" s="153"/>
      <c r="AHH10" s="153"/>
      <c r="AHI10" s="153"/>
      <c r="AHJ10" s="153"/>
      <c r="AHK10" s="153"/>
      <c r="AHL10" s="153"/>
      <c r="AHM10" s="153"/>
      <c r="AHN10" s="153"/>
      <c r="AHO10" s="153"/>
      <c r="AHP10" s="153"/>
      <c r="AHQ10" s="153"/>
      <c r="AHR10" s="153"/>
      <c r="AHS10" s="153"/>
      <c r="AHT10" s="153"/>
      <c r="AHU10" s="153"/>
      <c r="AHV10" s="153"/>
      <c r="AHW10" s="153"/>
      <c r="AHX10" s="153"/>
      <c r="AHY10" s="153"/>
      <c r="AHZ10" s="153"/>
      <c r="AIA10" s="153"/>
      <c r="AIB10" s="153"/>
      <c r="AIC10" s="153"/>
      <c r="AID10" s="153"/>
      <c r="AIE10" s="153"/>
      <c r="AIF10" s="153"/>
      <c r="AIG10" s="153"/>
      <c r="AIH10" s="153"/>
      <c r="AII10" s="153"/>
      <c r="AIJ10" s="153"/>
      <c r="AIK10" s="153"/>
      <c r="AIL10" s="153"/>
      <c r="AIM10" s="153"/>
      <c r="AIN10" s="153"/>
      <c r="AIO10" s="153"/>
      <c r="AIP10" s="153"/>
      <c r="AIQ10" s="153"/>
      <c r="AIR10" s="153"/>
      <c r="AIS10" s="153"/>
      <c r="AIT10" s="153"/>
      <c r="AIU10" s="153"/>
      <c r="AIV10" s="153"/>
      <c r="AIW10" s="153"/>
      <c r="AIX10" s="153"/>
      <c r="AIY10" s="153"/>
      <c r="AIZ10" s="153"/>
      <c r="AJA10" s="153"/>
      <c r="AJB10" s="153"/>
      <c r="AJC10" s="153"/>
      <c r="AJD10" s="153"/>
      <c r="AJE10" s="153"/>
      <c r="AJF10" s="153"/>
      <c r="AJG10" s="153"/>
      <c r="AJH10" s="153"/>
      <c r="AJI10" s="153"/>
      <c r="AJJ10" s="153"/>
      <c r="AJK10" s="153"/>
      <c r="AJL10" s="153"/>
      <c r="AJM10" s="153"/>
      <c r="AJN10" s="153"/>
      <c r="AJO10" s="153"/>
      <c r="AJP10" s="153"/>
      <c r="AJQ10" s="153"/>
      <c r="AJR10" s="153"/>
      <c r="AJS10" s="153"/>
      <c r="AJT10" s="153"/>
      <c r="AJU10" s="153"/>
      <c r="AJV10" s="153"/>
      <c r="AJW10" s="153"/>
      <c r="AJX10" s="153"/>
      <c r="AJY10" s="153"/>
      <c r="AJZ10" s="153"/>
      <c r="AKA10" s="153"/>
      <c r="AKB10" s="153"/>
      <c r="AKC10" s="153"/>
      <c r="AKD10" s="153"/>
      <c r="AKE10" s="153"/>
      <c r="AKF10" s="153"/>
      <c r="AKG10" s="153"/>
      <c r="AKH10" s="153"/>
      <c r="AKI10" s="153"/>
      <c r="AKJ10" s="153"/>
      <c r="AKK10" s="153"/>
      <c r="AKL10" s="153"/>
      <c r="AKM10" s="153"/>
      <c r="AKN10" s="153"/>
      <c r="AKO10" s="153"/>
      <c r="AKP10" s="153"/>
      <c r="AKQ10" s="153"/>
      <c r="AKR10" s="153"/>
      <c r="AKS10" s="153"/>
      <c r="AKT10" s="153"/>
      <c r="AKU10" s="153"/>
      <c r="AKV10" s="153"/>
      <c r="AKW10" s="153"/>
      <c r="AKX10" s="153"/>
      <c r="AKY10" s="153"/>
      <c r="AKZ10" s="153"/>
      <c r="ALA10" s="153"/>
      <c r="ALB10" s="153"/>
      <c r="ALC10" s="153"/>
      <c r="ALD10" s="153"/>
      <c r="ALE10" s="153"/>
      <c r="ALF10" s="153"/>
      <c r="ALG10" s="153"/>
      <c r="ALH10" s="153"/>
      <c r="ALI10" s="153"/>
      <c r="ALJ10" s="153"/>
      <c r="ALK10" s="153"/>
      <c r="ALL10" s="153"/>
      <c r="ALM10" s="153"/>
      <c r="ALN10" s="153"/>
      <c r="ALO10" s="153"/>
      <c r="ALP10" s="153"/>
      <c r="ALQ10" s="153"/>
      <c r="ALR10" s="153"/>
      <c r="ALS10" s="153"/>
      <c r="ALT10" s="153"/>
      <c r="ALU10" s="153"/>
      <c r="ALV10" s="153"/>
      <c r="ALW10" s="153"/>
      <c r="ALX10" s="153"/>
      <c r="ALY10" s="153"/>
      <c r="ALZ10" s="153"/>
      <c r="AMA10" s="153"/>
      <c r="AMB10" s="153"/>
      <c r="AMC10" s="153"/>
      <c r="AMD10" s="153"/>
      <c r="AME10" s="153"/>
      <c r="AMF10" s="153"/>
      <c r="AMG10" s="153"/>
      <c r="AMH10" s="153"/>
      <c r="AMI10" s="153"/>
      <c r="AMJ10" s="153"/>
      <c r="AMK10" s="153"/>
      <c r="AML10" s="153"/>
      <c r="AMM10" s="153"/>
      <c r="AMN10" s="153"/>
      <c r="AMO10" s="153"/>
      <c r="AMP10" s="153"/>
      <c r="AMQ10" s="153"/>
      <c r="AMR10" s="153"/>
      <c r="AMS10" s="153"/>
      <c r="AMT10" s="153"/>
      <c r="AMU10" s="153"/>
      <c r="AMV10" s="153"/>
      <c r="AMW10" s="153"/>
      <c r="AMX10" s="153"/>
      <c r="AMY10" s="153"/>
      <c r="AMZ10" s="153"/>
      <c r="ANA10" s="153"/>
      <c r="ANB10" s="153"/>
      <c r="ANC10" s="153"/>
      <c r="AND10" s="153"/>
      <c r="ANE10" s="153"/>
      <c r="ANF10" s="153"/>
      <c r="ANG10" s="153"/>
      <c r="ANH10" s="153"/>
      <c r="ANI10" s="153"/>
      <c r="ANJ10" s="153"/>
      <c r="ANK10" s="153"/>
      <c r="ANL10" s="153"/>
      <c r="ANM10" s="153"/>
      <c r="ANN10" s="153"/>
      <c r="ANO10" s="153"/>
      <c r="ANP10" s="153"/>
      <c r="ANQ10" s="153"/>
      <c r="ANR10" s="153"/>
      <c r="ANS10" s="153"/>
      <c r="ANT10" s="153"/>
      <c r="ANU10" s="153"/>
      <c r="ANV10" s="153"/>
      <c r="ANW10" s="153"/>
      <c r="ANX10" s="153"/>
      <c r="ANY10" s="153"/>
      <c r="ANZ10" s="153"/>
      <c r="AOA10" s="153"/>
      <c r="AOB10" s="153"/>
      <c r="AOC10" s="153"/>
      <c r="AOD10" s="153"/>
      <c r="AOE10" s="153"/>
      <c r="AOF10" s="153"/>
      <c r="AOG10" s="153"/>
      <c r="AOH10" s="153"/>
      <c r="AOI10" s="153"/>
      <c r="AOJ10" s="153"/>
      <c r="AOK10" s="153"/>
      <c r="AOL10" s="153"/>
      <c r="AOM10" s="153"/>
      <c r="AON10" s="153"/>
      <c r="AOO10" s="153"/>
      <c r="AOP10" s="153"/>
      <c r="AOQ10" s="153"/>
      <c r="AOR10" s="153"/>
      <c r="AOS10" s="153"/>
      <c r="AOT10" s="153"/>
      <c r="AOU10" s="153"/>
      <c r="AOV10" s="153"/>
      <c r="AOW10" s="153"/>
      <c r="AOX10" s="153"/>
      <c r="AOY10" s="153"/>
      <c r="AOZ10" s="153"/>
      <c r="APA10" s="153"/>
      <c r="APB10" s="153"/>
      <c r="APC10" s="153"/>
      <c r="APD10" s="153"/>
      <c r="APE10" s="153"/>
      <c r="APF10" s="153"/>
      <c r="APG10" s="153"/>
      <c r="APH10" s="153"/>
      <c r="API10" s="153"/>
      <c r="APJ10" s="153"/>
      <c r="APK10" s="153"/>
      <c r="APL10" s="153"/>
      <c r="APM10" s="153"/>
      <c r="APN10" s="153"/>
      <c r="APO10" s="153"/>
      <c r="APP10" s="153"/>
      <c r="APQ10" s="153"/>
      <c r="APR10" s="153"/>
      <c r="APS10" s="153"/>
      <c r="APT10" s="153"/>
      <c r="APU10" s="153"/>
      <c r="APV10" s="153"/>
      <c r="APW10" s="153"/>
      <c r="APX10" s="153"/>
      <c r="APY10" s="153"/>
      <c r="APZ10" s="153"/>
      <c r="AQA10" s="153"/>
      <c r="AQB10" s="153"/>
      <c r="AQC10" s="153"/>
      <c r="AQD10" s="153"/>
      <c r="AQE10" s="153"/>
      <c r="AQF10" s="153"/>
      <c r="AQG10" s="153"/>
      <c r="AQH10" s="153"/>
      <c r="AQI10" s="153"/>
      <c r="AQJ10" s="153"/>
      <c r="AQK10" s="153"/>
      <c r="AQL10" s="153"/>
      <c r="AQM10" s="153"/>
      <c r="AQN10" s="153"/>
      <c r="AQO10" s="153"/>
      <c r="AQP10" s="153"/>
      <c r="AQQ10" s="153"/>
      <c r="AQR10" s="153"/>
      <c r="AQS10" s="153"/>
      <c r="AQT10" s="153"/>
      <c r="AQU10" s="153"/>
      <c r="AQV10" s="153"/>
      <c r="AQW10" s="153"/>
      <c r="AQX10" s="153"/>
      <c r="AQY10" s="153"/>
      <c r="AQZ10" s="153"/>
      <c r="ARA10" s="153"/>
      <c r="ARB10" s="153"/>
      <c r="ARC10" s="153"/>
      <c r="ARD10" s="153"/>
      <c r="ARE10" s="153"/>
      <c r="ARF10" s="153"/>
      <c r="ARG10" s="153"/>
      <c r="ARH10" s="153"/>
      <c r="ARI10" s="153"/>
      <c r="ARJ10" s="153"/>
      <c r="ARK10" s="153"/>
      <c r="ARL10" s="153"/>
      <c r="ARM10" s="153"/>
      <c r="ARN10" s="153"/>
      <c r="ARO10" s="153"/>
      <c r="ARP10" s="153"/>
      <c r="ARQ10" s="153"/>
      <c r="ARR10" s="153"/>
      <c r="ARS10" s="153"/>
      <c r="ART10" s="153"/>
      <c r="ARU10" s="153"/>
      <c r="ARV10" s="153"/>
      <c r="ARW10" s="153"/>
      <c r="ARX10" s="153"/>
      <c r="ARY10" s="153"/>
      <c r="ARZ10" s="153"/>
      <c r="ASA10" s="153"/>
      <c r="ASB10" s="153"/>
      <c r="ASC10" s="153"/>
      <c r="ASD10" s="153"/>
      <c r="ASE10" s="153"/>
      <c r="ASF10" s="153"/>
      <c r="ASG10" s="153"/>
      <c r="ASH10" s="153"/>
      <c r="ASI10" s="153"/>
      <c r="ASJ10" s="153"/>
      <c r="ASK10" s="153"/>
      <c r="ASL10" s="153"/>
      <c r="ASM10" s="153"/>
      <c r="ASN10" s="153"/>
      <c r="ASO10" s="153"/>
      <c r="ASP10" s="153"/>
      <c r="ASQ10" s="153"/>
      <c r="ASR10" s="153"/>
      <c r="ASS10" s="153"/>
      <c r="AST10" s="153"/>
      <c r="ASU10" s="153"/>
      <c r="ASV10" s="153"/>
      <c r="ASW10" s="153"/>
      <c r="ASX10" s="153"/>
      <c r="ASY10" s="153"/>
      <c r="ASZ10" s="153"/>
      <c r="ATA10" s="153"/>
      <c r="ATB10" s="153"/>
      <c r="ATC10" s="153"/>
      <c r="ATD10" s="153"/>
      <c r="ATE10" s="153"/>
      <c r="ATF10" s="153"/>
      <c r="ATG10" s="153"/>
      <c r="ATH10" s="153"/>
      <c r="ATI10" s="153"/>
      <c r="ATJ10" s="153"/>
      <c r="ATK10" s="153"/>
      <c r="ATL10" s="153"/>
      <c r="ATM10" s="153"/>
      <c r="ATN10" s="153"/>
      <c r="ATO10" s="153"/>
      <c r="ATP10" s="153"/>
      <c r="ATQ10" s="153"/>
      <c r="ATR10" s="153"/>
      <c r="ATS10" s="153"/>
      <c r="ATT10" s="153"/>
      <c r="ATU10" s="153"/>
      <c r="ATV10" s="153"/>
      <c r="ATW10" s="153"/>
      <c r="ATX10" s="153"/>
      <c r="ATY10" s="153"/>
      <c r="ATZ10" s="153"/>
      <c r="AUA10" s="153"/>
      <c r="AUB10" s="153"/>
      <c r="AUC10" s="153"/>
      <c r="AUD10" s="153"/>
      <c r="AUE10" s="153"/>
      <c r="AUF10" s="153"/>
      <c r="AUG10" s="153"/>
      <c r="AUH10" s="153"/>
      <c r="AUI10" s="153"/>
      <c r="AUJ10" s="153"/>
      <c r="AUK10" s="153"/>
      <c r="AUL10" s="153"/>
      <c r="AUM10" s="153"/>
      <c r="AUN10" s="153"/>
      <c r="AUO10" s="153"/>
      <c r="AUP10" s="153"/>
      <c r="AUQ10" s="153"/>
      <c r="AUR10" s="153"/>
      <c r="AUS10" s="153"/>
      <c r="AUT10" s="153"/>
      <c r="AUU10" s="153"/>
      <c r="AUV10" s="153"/>
      <c r="AUW10" s="153"/>
      <c r="AUX10" s="153"/>
      <c r="AUY10" s="153"/>
      <c r="AUZ10" s="153"/>
      <c r="AVA10" s="153"/>
      <c r="AVB10" s="153"/>
      <c r="AVC10" s="153"/>
      <c r="AVD10" s="153"/>
      <c r="AVE10" s="153"/>
      <c r="AVF10" s="153"/>
      <c r="AVG10" s="153"/>
      <c r="AVH10" s="153"/>
      <c r="AVI10" s="153"/>
      <c r="AVJ10" s="153"/>
      <c r="AVK10" s="153"/>
      <c r="AVL10" s="153"/>
      <c r="AVM10" s="153"/>
      <c r="AVN10" s="153"/>
      <c r="AVO10" s="153"/>
      <c r="AVP10" s="153"/>
      <c r="AVQ10" s="153"/>
      <c r="AVR10" s="153"/>
      <c r="AVS10" s="153"/>
      <c r="AVT10" s="153"/>
      <c r="AVU10" s="153"/>
      <c r="AVV10" s="153"/>
      <c r="AVW10" s="153"/>
      <c r="AVX10" s="153"/>
      <c r="AVY10" s="153"/>
      <c r="AVZ10" s="153"/>
      <c r="AWA10" s="153"/>
      <c r="AWB10" s="153"/>
      <c r="AWC10" s="153"/>
      <c r="AWD10" s="153"/>
      <c r="AWE10" s="153"/>
      <c r="AWF10" s="153"/>
      <c r="AWG10" s="153"/>
      <c r="AWH10" s="153"/>
      <c r="AWI10" s="153"/>
      <c r="AWJ10" s="153"/>
      <c r="AWK10" s="153"/>
      <c r="AWL10" s="153"/>
      <c r="AWM10" s="153"/>
      <c r="AWN10" s="153"/>
      <c r="AWO10" s="153"/>
      <c r="AWP10" s="153"/>
      <c r="AWQ10" s="153"/>
      <c r="AWR10" s="153"/>
      <c r="AWS10" s="153"/>
      <c r="AWT10" s="153"/>
      <c r="AWU10" s="153"/>
      <c r="AWV10" s="153"/>
      <c r="AWW10" s="153"/>
      <c r="AWX10" s="153"/>
      <c r="AWY10" s="153"/>
      <c r="AWZ10" s="153"/>
      <c r="AXA10" s="153"/>
      <c r="AXB10" s="153"/>
      <c r="AXC10" s="153"/>
      <c r="AXD10" s="153"/>
      <c r="AXE10" s="153"/>
      <c r="AXF10" s="153"/>
      <c r="AXG10" s="153"/>
      <c r="AXH10" s="153"/>
      <c r="AXI10" s="153"/>
      <c r="AXJ10" s="153"/>
      <c r="AXK10" s="153"/>
      <c r="AXL10" s="153"/>
      <c r="AXM10" s="153"/>
      <c r="AXN10" s="153"/>
      <c r="AXO10" s="153"/>
      <c r="AXP10" s="153"/>
      <c r="AXQ10" s="153"/>
      <c r="AXR10" s="153"/>
      <c r="AXS10" s="153"/>
      <c r="AXT10" s="153"/>
      <c r="AXU10" s="153"/>
      <c r="AXV10" s="153"/>
      <c r="AXW10" s="153"/>
      <c r="AXX10" s="153"/>
      <c r="AXY10" s="153"/>
      <c r="AXZ10" s="73"/>
    </row>
    <row r="11" spans="1:1566" s="71" customFormat="1" ht="20.100000000000001" customHeight="1" x14ac:dyDescent="0.25">
      <c r="A11" s="146"/>
      <c r="B11" s="142"/>
      <c r="C11" s="177"/>
      <c r="D11" s="177"/>
      <c r="E11" s="177"/>
      <c r="F11" s="172" t="s">
        <v>67</v>
      </c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 t="s">
        <v>67</v>
      </c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2"/>
      <c r="BZ11" s="172"/>
      <c r="CA11" s="172"/>
      <c r="CB11" s="172"/>
      <c r="CC11" s="172"/>
      <c r="CD11" s="172"/>
      <c r="CE11" s="172"/>
      <c r="CF11" s="172"/>
      <c r="CG11" s="172"/>
      <c r="CH11" s="172"/>
      <c r="CI11" s="172"/>
      <c r="CJ11" s="172"/>
      <c r="CK11" s="172"/>
      <c r="CL11" s="172"/>
      <c r="CM11" s="172"/>
      <c r="CN11" s="172"/>
      <c r="CO11" s="172"/>
      <c r="CP11" s="172"/>
      <c r="CQ11" s="172"/>
      <c r="CR11" s="172"/>
      <c r="CS11" s="172"/>
      <c r="CT11" s="172"/>
      <c r="CU11" s="172"/>
      <c r="CV11" s="172"/>
      <c r="CW11" s="172"/>
      <c r="CX11" s="172"/>
      <c r="CY11" s="172"/>
      <c r="CZ11" s="172"/>
      <c r="DA11" s="172"/>
      <c r="DB11" s="172"/>
      <c r="DC11" s="172"/>
      <c r="DD11" s="172"/>
      <c r="DE11" s="172"/>
      <c r="DF11" s="172"/>
      <c r="DG11" s="172"/>
      <c r="DH11" s="172"/>
      <c r="DI11" s="172"/>
      <c r="DJ11" s="172"/>
      <c r="DK11" s="172"/>
      <c r="DL11" s="172"/>
      <c r="DM11" s="172"/>
      <c r="DN11" s="172"/>
      <c r="DO11" s="172"/>
      <c r="DP11" s="172"/>
      <c r="DQ11" s="172"/>
      <c r="DR11" s="172"/>
      <c r="DS11" s="172"/>
      <c r="DT11" s="172"/>
      <c r="DU11" s="172"/>
      <c r="DV11" s="172" t="s">
        <v>98</v>
      </c>
      <c r="DW11" s="172"/>
      <c r="DX11" s="172"/>
      <c r="DY11" s="172"/>
      <c r="DZ11" s="172"/>
      <c r="EA11" s="172"/>
      <c r="EB11" s="172"/>
      <c r="EC11" s="172"/>
      <c r="ED11" s="172"/>
      <c r="EE11" s="172"/>
      <c r="EF11" s="172"/>
      <c r="EG11" s="172"/>
      <c r="EH11" s="172"/>
      <c r="EI11" s="172"/>
      <c r="EJ11" s="172"/>
      <c r="EK11" s="172"/>
      <c r="EL11" s="172"/>
      <c r="EM11" s="172"/>
      <c r="EN11" s="172"/>
      <c r="EO11" s="172"/>
      <c r="EP11" s="172"/>
      <c r="EQ11" s="172"/>
      <c r="ER11" s="172"/>
      <c r="ES11" s="172"/>
      <c r="ET11" s="172"/>
      <c r="EU11" s="172"/>
      <c r="EV11" s="172"/>
      <c r="EW11" s="172"/>
      <c r="EX11" s="172"/>
      <c r="EY11" s="172"/>
      <c r="EZ11" s="172"/>
      <c r="FA11" s="172"/>
      <c r="FB11" s="172"/>
      <c r="FC11" s="172"/>
      <c r="FD11" s="172"/>
      <c r="FE11" s="172"/>
      <c r="FF11" s="172"/>
      <c r="FG11" s="172"/>
      <c r="FH11" s="172"/>
      <c r="FI11" s="172"/>
      <c r="FJ11" s="172"/>
      <c r="FK11" s="172"/>
      <c r="FL11" s="172"/>
      <c r="FM11" s="172"/>
      <c r="FN11" s="172"/>
      <c r="FO11" s="172"/>
      <c r="FP11" s="172"/>
      <c r="FQ11" s="172"/>
      <c r="FR11" s="172"/>
      <c r="FS11" s="172"/>
      <c r="FT11" s="172"/>
      <c r="FU11" s="172"/>
      <c r="FV11" s="172"/>
      <c r="FW11" s="172"/>
      <c r="FX11" s="172"/>
      <c r="FY11" s="172"/>
      <c r="FZ11" s="172"/>
      <c r="GA11" s="172"/>
      <c r="GB11" s="172"/>
      <c r="GC11" s="172"/>
      <c r="GD11" s="172" t="s">
        <v>98</v>
      </c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 t="s">
        <v>95</v>
      </c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  <c r="JV11" s="172"/>
      <c r="JW11" s="172"/>
      <c r="JX11" s="172"/>
      <c r="JY11" s="172"/>
      <c r="JZ11" s="172"/>
      <c r="KA11" s="172"/>
      <c r="KB11" s="172"/>
      <c r="KC11" s="172"/>
      <c r="KD11" s="172"/>
      <c r="KE11" s="172"/>
      <c r="KF11" s="172"/>
      <c r="KG11" s="172"/>
      <c r="KH11" s="172"/>
      <c r="KI11" s="172"/>
      <c r="KJ11" s="172"/>
      <c r="KK11" s="172"/>
      <c r="KL11" s="172"/>
      <c r="KM11" s="172"/>
      <c r="KN11" s="172"/>
      <c r="KO11" s="172"/>
      <c r="KP11" s="172"/>
      <c r="KQ11" s="172"/>
      <c r="KR11" s="172"/>
      <c r="KS11" s="172"/>
      <c r="KT11" s="172" t="s">
        <v>95</v>
      </c>
      <c r="KU11" s="172"/>
      <c r="KV11" s="172"/>
      <c r="KW11" s="172"/>
      <c r="KX11" s="172"/>
      <c r="KY11" s="172"/>
      <c r="KZ11" s="172"/>
      <c r="LA11" s="172"/>
      <c r="LB11" s="172"/>
      <c r="LC11" s="172"/>
      <c r="LD11" s="172"/>
      <c r="LE11" s="172"/>
      <c r="LF11" s="172"/>
      <c r="LG11" s="172"/>
      <c r="LH11" s="172"/>
      <c r="LI11" s="172"/>
      <c r="LJ11" s="172"/>
      <c r="LK11" s="172"/>
      <c r="LL11" s="172"/>
      <c r="LM11" s="172"/>
      <c r="LN11" s="172"/>
      <c r="LO11" s="172"/>
      <c r="LP11" s="172"/>
      <c r="LQ11" s="172"/>
      <c r="LR11" s="172"/>
      <c r="LS11" s="172"/>
      <c r="LT11" s="172"/>
      <c r="LU11" s="172"/>
      <c r="LV11" s="172"/>
      <c r="LW11" s="172"/>
      <c r="LX11" s="172"/>
      <c r="LY11" s="172"/>
      <c r="LZ11" s="172"/>
      <c r="MA11" s="172"/>
      <c r="MB11" s="172"/>
      <c r="MC11" s="172"/>
      <c r="MD11" s="172"/>
      <c r="ME11" s="172"/>
      <c r="MF11" s="172"/>
      <c r="MG11" s="172"/>
      <c r="MH11" s="172"/>
      <c r="MI11" s="172"/>
      <c r="MJ11" s="172"/>
      <c r="MK11" s="172"/>
      <c r="ML11" s="172"/>
      <c r="MM11" s="172"/>
      <c r="MN11" s="172"/>
      <c r="MO11" s="172"/>
      <c r="MP11" s="172"/>
      <c r="MQ11" s="172"/>
      <c r="MR11" s="172"/>
      <c r="MS11" s="172"/>
      <c r="MT11" s="172"/>
      <c r="MU11" s="172"/>
      <c r="MV11" s="172"/>
      <c r="MW11" s="172"/>
      <c r="MX11" s="172"/>
      <c r="MY11" s="172"/>
      <c r="MZ11" s="172"/>
      <c r="NA11" s="172"/>
      <c r="NB11" s="172" t="s">
        <v>92</v>
      </c>
      <c r="NC11" s="172"/>
      <c r="ND11" s="172"/>
      <c r="NE11" s="172"/>
      <c r="NF11" s="172"/>
      <c r="NG11" s="172"/>
      <c r="NH11" s="172"/>
      <c r="NI11" s="172"/>
      <c r="NJ11" s="172"/>
      <c r="NK11" s="172"/>
      <c r="NL11" s="172"/>
      <c r="NM11" s="172"/>
      <c r="NN11" s="172"/>
      <c r="NO11" s="172"/>
      <c r="NP11" s="172"/>
      <c r="NQ11" s="172"/>
      <c r="NR11" s="172"/>
      <c r="NS11" s="172"/>
      <c r="NT11" s="172"/>
      <c r="NU11" s="172"/>
      <c r="NV11" s="172"/>
      <c r="NW11" s="172"/>
      <c r="NX11" s="172"/>
      <c r="NY11" s="172"/>
      <c r="NZ11" s="172"/>
      <c r="OA11" s="172"/>
      <c r="OB11" s="172"/>
      <c r="OC11" s="172"/>
      <c r="OD11" s="172"/>
      <c r="OE11" s="172"/>
      <c r="OF11" s="172"/>
      <c r="OG11" s="172"/>
      <c r="OH11" s="172"/>
      <c r="OI11" s="172"/>
      <c r="OJ11" s="172"/>
      <c r="OK11" s="172"/>
      <c r="OL11" s="172"/>
      <c r="OM11" s="172"/>
      <c r="ON11" s="172"/>
      <c r="OO11" s="172"/>
      <c r="OP11" s="172"/>
      <c r="OQ11" s="172"/>
      <c r="OR11" s="172"/>
      <c r="OS11" s="172"/>
      <c r="OT11" s="172"/>
      <c r="OU11" s="172"/>
      <c r="OV11" s="172"/>
      <c r="OW11" s="172"/>
      <c r="OX11" s="172"/>
      <c r="OY11" s="172"/>
      <c r="OZ11" s="172"/>
      <c r="PA11" s="172"/>
      <c r="PB11" s="172"/>
      <c r="PC11" s="172"/>
      <c r="PD11" s="172"/>
      <c r="PE11" s="172"/>
      <c r="PF11" s="172"/>
      <c r="PG11" s="172"/>
      <c r="PH11" s="172"/>
      <c r="PI11" s="172"/>
      <c r="PJ11" s="172" t="s">
        <v>92</v>
      </c>
      <c r="PK11" s="172"/>
      <c r="PL11" s="172"/>
      <c r="PM11" s="172"/>
      <c r="PN11" s="172"/>
      <c r="PO11" s="172"/>
      <c r="PP11" s="172"/>
      <c r="PQ11" s="172"/>
      <c r="PR11" s="172"/>
      <c r="PS11" s="172"/>
      <c r="PT11" s="172"/>
      <c r="PU11" s="172"/>
      <c r="PV11" s="172"/>
      <c r="PW11" s="172"/>
      <c r="PX11" s="172"/>
      <c r="PY11" s="172"/>
      <c r="PZ11" s="172"/>
      <c r="QA11" s="172"/>
      <c r="QB11" s="172"/>
      <c r="QC11" s="172"/>
      <c r="QD11" s="172"/>
      <c r="QE11" s="172"/>
      <c r="QF11" s="172"/>
      <c r="QG11" s="172"/>
      <c r="QH11" s="172"/>
      <c r="QI11" s="172"/>
      <c r="QJ11" s="172"/>
      <c r="QK11" s="172"/>
      <c r="QL11" s="172"/>
      <c r="QM11" s="172"/>
      <c r="QN11" s="172"/>
      <c r="QO11" s="172"/>
      <c r="QP11" s="172"/>
      <c r="QQ11" s="172"/>
      <c r="QR11" s="172"/>
      <c r="QS11" s="172"/>
      <c r="QT11" s="172"/>
      <c r="QU11" s="172"/>
      <c r="QV11" s="172"/>
      <c r="QW11" s="172"/>
      <c r="QX11" s="172"/>
      <c r="QY11" s="172"/>
      <c r="QZ11" s="172"/>
      <c r="RA11" s="172"/>
      <c r="RB11" s="172"/>
      <c r="RC11" s="172"/>
      <c r="RD11" s="172"/>
      <c r="RE11" s="172"/>
      <c r="RF11" s="172"/>
      <c r="RG11" s="172"/>
      <c r="RH11" s="172"/>
      <c r="RI11" s="172"/>
      <c r="RJ11" s="172"/>
      <c r="RK11" s="172"/>
      <c r="RL11" s="172"/>
      <c r="RM11" s="172"/>
      <c r="RN11" s="172"/>
      <c r="RO11" s="172"/>
      <c r="RP11" s="172"/>
      <c r="RQ11" s="172"/>
      <c r="RR11" s="172"/>
      <c r="RS11" s="172"/>
      <c r="RT11" s="172"/>
      <c r="RU11" s="172"/>
      <c r="RV11" s="172"/>
      <c r="RW11" s="172"/>
      <c r="RX11" s="172"/>
      <c r="RY11" s="172"/>
      <c r="RZ11" s="172"/>
      <c r="SA11" s="172"/>
      <c r="SB11" s="172"/>
      <c r="SC11" s="172"/>
      <c r="SD11" s="172"/>
      <c r="SE11" s="172"/>
      <c r="SF11" s="172"/>
      <c r="SG11" s="172"/>
      <c r="SH11" s="172"/>
      <c r="SI11" s="172"/>
      <c r="SJ11" s="172"/>
      <c r="SK11" s="172"/>
      <c r="SL11" s="172"/>
      <c r="SM11" s="172"/>
      <c r="SN11" s="172"/>
      <c r="SO11" s="172"/>
      <c r="SP11" s="172"/>
      <c r="SQ11" s="172"/>
      <c r="SR11" s="172"/>
      <c r="SS11" s="172"/>
      <c r="ST11" s="172"/>
      <c r="SU11" s="172"/>
      <c r="SV11" s="172"/>
      <c r="SW11" s="172"/>
      <c r="SX11" s="172"/>
      <c r="SY11" s="172"/>
      <c r="SZ11" s="172"/>
      <c r="TA11" s="172"/>
      <c r="TB11" s="172"/>
      <c r="TC11" s="172"/>
      <c r="TD11" s="172"/>
      <c r="TE11" s="172"/>
      <c r="TF11" s="172"/>
      <c r="TG11" s="172"/>
      <c r="TH11" s="172"/>
      <c r="TI11" s="172"/>
      <c r="TJ11" s="172"/>
      <c r="TK11" s="172"/>
      <c r="TL11" s="172"/>
      <c r="TM11" s="172"/>
      <c r="TN11" s="172"/>
      <c r="TO11" s="172"/>
      <c r="TP11" s="172"/>
      <c r="TQ11" s="172"/>
      <c r="TR11" s="172"/>
      <c r="TS11" s="172"/>
      <c r="TT11" s="172"/>
      <c r="TU11" s="172"/>
      <c r="TV11" s="172"/>
      <c r="TW11" s="172"/>
      <c r="TX11" s="172"/>
      <c r="TY11" s="172"/>
      <c r="TZ11" s="172"/>
      <c r="UA11" s="172"/>
      <c r="UB11" s="172"/>
      <c r="UC11" s="172"/>
      <c r="UD11" s="172"/>
      <c r="UE11" s="172"/>
      <c r="UF11" s="172"/>
      <c r="UG11" s="172"/>
      <c r="UH11" s="172"/>
      <c r="UI11" s="172"/>
      <c r="UJ11" s="172"/>
      <c r="UK11" s="172"/>
      <c r="UL11" s="172"/>
      <c r="UM11" s="172"/>
      <c r="UN11" s="172"/>
      <c r="UO11" s="172"/>
      <c r="UP11" s="172"/>
      <c r="UQ11" s="172"/>
      <c r="UR11" s="172"/>
      <c r="US11" s="172"/>
      <c r="UT11" s="172"/>
      <c r="UU11" s="172"/>
      <c r="UV11" s="172"/>
      <c r="UW11" s="172"/>
      <c r="UX11" s="172"/>
      <c r="UY11" s="172"/>
      <c r="UZ11" s="172"/>
      <c r="VA11" s="172"/>
      <c r="VB11" s="172"/>
      <c r="VC11" s="172"/>
      <c r="VD11" s="172"/>
      <c r="VE11" s="172"/>
      <c r="VF11" s="172"/>
      <c r="VG11" s="172"/>
      <c r="VH11" s="172"/>
      <c r="VI11" s="172"/>
      <c r="VJ11" s="172"/>
      <c r="VK11" s="172"/>
      <c r="VL11" s="172"/>
      <c r="VM11" s="172"/>
      <c r="VN11" s="172"/>
      <c r="VO11" s="172"/>
      <c r="VP11" s="172"/>
      <c r="VQ11" s="172"/>
      <c r="VR11" s="172"/>
      <c r="VS11" s="172"/>
      <c r="VT11" s="172"/>
      <c r="VU11" s="172"/>
      <c r="VV11" s="172"/>
      <c r="VW11" s="172"/>
      <c r="VX11" s="172"/>
      <c r="VY11" s="172"/>
      <c r="VZ11" s="172"/>
      <c r="WA11" s="172"/>
      <c r="WB11" s="172"/>
      <c r="WC11" s="172"/>
      <c r="WD11" s="172"/>
      <c r="WE11" s="172"/>
      <c r="WF11" s="172"/>
      <c r="WG11" s="172"/>
      <c r="WH11" s="172"/>
      <c r="WI11" s="172"/>
      <c r="WJ11" s="172"/>
      <c r="WK11" s="172"/>
      <c r="WL11" s="172"/>
      <c r="WM11" s="172"/>
      <c r="WN11" s="172"/>
      <c r="WO11" s="172"/>
      <c r="WP11" s="172"/>
      <c r="WQ11" s="172"/>
      <c r="WR11" s="172"/>
      <c r="WS11" s="172"/>
      <c r="WT11" s="172"/>
      <c r="WU11" s="172"/>
      <c r="WV11" s="172"/>
      <c r="WW11" s="172"/>
      <c r="WX11" s="172"/>
      <c r="WY11" s="172"/>
      <c r="WZ11" s="172"/>
      <c r="XA11" s="172"/>
      <c r="XB11" s="172"/>
      <c r="XC11" s="172"/>
      <c r="XD11" s="172"/>
      <c r="XE11" s="172"/>
      <c r="XF11" s="172"/>
      <c r="XG11" s="172"/>
      <c r="XH11" s="172"/>
      <c r="XI11" s="172"/>
      <c r="XJ11" s="172"/>
      <c r="XK11" s="172"/>
      <c r="XL11" s="172"/>
      <c r="XM11" s="172"/>
      <c r="XN11" s="172"/>
      <c r="XO11" s="172"/>
      <c r="XP11" s="172"/>
      <c r="XQ11" s="172"/>
      <c r="XR11" s="172"/>
      <c r="XS11" s="172"/>
      <c r="XT11" s="172"/>
      <c r="XU11" s="172"/>
      <c r="XV11" s="172"/>
      <c r="XW11" s="172"/>
      <c r="XX11" s="172"/>
      <c r="XY11" s="172"/>
      <c r="XZ11" s="172"/>
      <c r="YA11" s="172"/>
      <c r="YB11" s="172"/>
      <c r="YC11" s="172"/>
      <c r="YD11" s="172"/>
      <c r="YE11" s="172"/>
      <c r="YF11" s="172"/>
      <c r="YG11" s="172"/>
      <c r="YH11" s="172"/>
      <c r="YI11" s="172"/>
      <c r="YJ11" s="172"/>
      <c r="YK11" s="172"/>
      <c r="YL11" s="172"/>
      <c r="YM11" s="172"/>
      <c r="YN11" s="172"/>
      <c r="YO11" s="172"/>
      <c r="YP11" s="172"/>
      <c r="YQ11" s="172"/>
      <c r="YR11" s="172"/>
      <c r="YS11" s="172"/>
      <c r="YT11" s="172"/>
      <c r="YU11" s="172"/>
      <c r="YV11" s="172"/>
      <c r="YW11" s="172"/>
      <c r="YX11" s="172"/>
      <c r="YY11" s="172"/>
      <c r="YZ11" s="172"/>
      <c r="ZA11" s="172"/>
      <c r="ZB11" s="172"/>
      <c r="ZC11" s="172"/>
      <c r="ZD11" s="172"/>
      <c r="ZE11" s="172"/>
      <c r="ZF11" s="172"/>
      <c r="ZG11" s="172"/>
      <c r="ZH11" s="172"/>
      <c r="ZI11" s="172"/>
      <c r="ZJ11" s="172"/>
      <c r="ZK11" s="172"/>
      <c r="ZL11" s="172"/>
      <c r="ZM11" s="172"/>
      <c r="ZN11" s="172"/>
      <c r="ZO11" s="172"/>
      <c r="ZP11" s="172"/>
      <c r="ZQ11" s="172"/>
      <c r="ZR11" s="172"/>
      <c r="ZS11" s="172"/>
      <c r="ZT11" s="172"/>
      <c r="ZU11" s="172"/>
      <c r="ZV11" s="172"/>
      <c r="ZW11" s="172"/>
      <c r="ZX11" s="172"/>
      <c r="ZY11" s="172"/>
      <c r="ZZ11" s="172"/>
      <c r="AAA11" s="172"/>
      <c r="AAB11" s="172"/>
      <c r="AAC11" s="172"/>
      <c r="AAD11" s="172"/>
      <c r="AAE11" s="172"/>
      <c r="AAF11" s="172"/>
      <c r="AAG11" s="172"/>
      <c r="AAH11" s="172"/>
      <c r="AAI11" s="172"/>
      <c r="AAJ11" s="172"/>
      <c r="AAK11" s="172"/>
      <c r="AAL11" s="172"/>
      <c r="AAM11" s="172"/>
      <c r="AAN11" s="172"/>
      <c r="AAO11" s="172"/>
      <c r="AAP11" s="172"/>
      <c r="AAQ11" s="172"/>
      <c r="AAR11" s="172"/>
      <c r="AAS11" s="172"/>
      <c r="AAT11" s="172"/>
      <c r="AAU11" s="172"/>
      <c r="AAV11" s="172"/>
      <c r="AAW11" s="172"/>
      <c r="AAX11" s="172"/>
      <c r="AAY11" s="172"/>
      <c r="AAZ11" s="172"/>
      <c r="ABA11" s="172"/>
      <c r="ABB11" s="172"/>
      <c r="ABC11" s="172"/>
      <c r="ABD11" s="172"/>
      <c r="ABE11" s="172"/>
      <c r="ABF11" s="172"/>
      <c r="ABG11" s="172"/>
      <c r="ABH11" s="172"/>
      <c r="ABI11" s="172"/>
      <c r="ABJ11" s="172"/>
      <c r="ABK11" s="172"/>
      <c r="ABL11" s="172"/>
      <c r="ABM11" s="172"/>
      <c r="ABN11" s="172"/>
      <c r="ABO11" s="172"/>
      <c r="ABP11" s="172"/>
      <c r="ABQ11" s="172"/>
      <c r="ABR11" s="172"/>
      <c r="ABS11" s="172"/>
      <c r="ABT11" s="172"/>
      <c r="ABU11" s="172"/>
      <c r="ABV11" s="172"/>
      <c r="ABW11" s="172"/>
      <c r="ABX11" s="172"/>
      <c r="ABY11" s="172"/>
      <c r="ABZ11" s="172"/>
      <c r="ACA11" s="172"/>
      <c r="ACB11" s="172"/>
      <c r="ACC11" s="172"/>
      <c r="ACD11" s="172"/>
      <c r="ACE11" s="172"/>
      <c r="ACF11" s="172"/>
      <c r="ACG11" s="172"/>
      <c r="ACH11" s="172"/>
      <c r="ACI11" s="172"/>
      <c r="ACJ11" s="172"/>
      <c r="ACK11" s="172"/>
      <c r="ACL11" s="172"/>
      <c r="ACM11" s="172"/>
      <c r="ACN11" s="172"/>
      <c r="ACO11" s="172"/>
      <c r="ACP11" s="172"/>
      <c r="ACQ11" s="172"/>
      <c r="ACR11" s="172"/>
      <c r="ACS11" s="172"/>
      <c r="ACT11" s="172"/>
      <c r="ACU11" s="172"/>
      <c r="ACV11" s="172"/>
      <c r="ACW11" s="172"/>
      <c r="ACX11" s="172"/>
      <c r="ACY11" s="172"/>
      <c r="ACZ11" s="172"/>
      <c r="ADA11" s="172"/>
      <c r="ADB11" s="172"/>
      <c r="ADC11" s="172"/>
      <c r="ADD11" s="172"/>
      <c r="ADE11" s="172"/>
      <c r="ADF11" s="172"/>
      <c r="ADG11" s="172"/>
      <c r="ADH11" s="172"/>
      <c r="ADI11" s="172"/>
      <c r="ADJ11" s="172"/>
      <c r="ADK11" s="172"/>
      <c r="ADL11" s="172"/>
      <c r="ADM11" s="172"/>
      <c r="ADN11" s="172"/>
      <c r="ADO11" s="172"/>
      <c r="ADP11" s="172"/>
      <c r="ADQ11" s="172"/>
      <c r="ADR11" s="172"/>
      <c r="ADS11" s="172"/>
      <c r="ADT11" s="172"/>
      <c r="ADU11" s="172"/>
      <c r="ADV11" s="172"/>
      <c r="ADW11" s="172"/>
      <c r="ADX11" s="172"/>
      <c r="ADY11" s="172"/>
      <c r="ADZ11" s="172"/>
      <c r="AEA11" s="172"/>
      <c r="AEB11" s="172"/>
      <c r="AEC11" s="172"/>
      <c r="AED11" s="172"/>
      <c r="AEE11" s="172"/>
      <c r="AEF11" s="172"/>
      <c r="AEG11" s="172"/>
      <c r="AEH11" s="172"/>
      <c r="AEI11" s="172"/>
      <c r="AEJ11" s="172"/>
      <c r="AEK11" s="172"/>
      <c r="AEL11" s="172"/>
      <c r="AEM11" s="172"/>
      <c r="AEN11" s="172"/>
      <c r="AEO11" s="172"/>
      <c r="AEP11" s="172"/>
      <c r="AEQ11" s="172"/>
      <c r="AER11" s="172"/>
      <c r="AES11" s="172"/>
      <c r="AET11" s="172"/>
      <c r="AEU11" s="172"/>
      <c r="AEV11" s="172"/>
      <c r="AEW11" s="172"/>
      <c r="AEX11" s="172"/>
      <c r="AEY11" s="172"/>
      <c r="AEZ11" s="172"/>
      <c r="AFA11" s="172"/>
      <c r="AFB11" s="172"/>
      <c r="AFC11" s="172"/>
      <c r="AFD11" s="172"/>
      <c r="AFE11" s="172"/>
      <c r="AFF11" s="172"/>
      <c r="AFG11" s="172"/>
      <c r="AFH11" s="172"/>
      <c r="AFI11" s="172"/>
      <c r="AFJ11" s="172"/>
      <c r="AFK11" s="172"/>
      <c r="AFL11" s="172"/>
      <c r="AFM11" s="172"/>
      <c r="AFN11" s="172"/>
      <c r="AFO11" s="172"/>
      <c r="AFP11" s="172"/>
      <c r="AFQ11" s="172"/>
      <c r="AFR11" s="172"/>
      <c r="AFS11" s="172"/>
      <c r="AFT11" s="172"/>
      <c r="AFU11" s="172"/>
      <c r="AFV11" s="172"/>
      <c r="AFW11" s="172"/>
      <c r="AFX11" s="172"/>
      <c r="AFY11" s="172"/>
      <c r="AFZ11" s="172"/>
      <c r="AGA11" s="172"/>
      <c r="AGB11" s="172"/>
      <c r="AGC11" s="172"/>
      <c r="AGD11" s="172"/>
      <c r="AGE11" s="172"/>
      <c r="AGF11" s="172"/>
      <c r="AGG11" s="172"/>
      <c r="AGH11" s="172"/>
      <c r="AGI11" s="172"/>
      <c r="AGJ11" s="172"/>
      <c r="AGK11" s="172"/>
      <c r="AGL11" s="172"/>
      <c r="AGM11" s="172"/>
      <c r="AGN11" s="172"/>
      <c r="AGO11" s="172"/>
      <c r="AGP11" s="172"/>
      <c r="AGQ11" s="172"/>
      <c r="AGR11" s="172"/>
      <c r="AGS11" s="172"/>
      <c r="AGT11" s="172"/>
      <c r="AGU11" s="172"/>
      <c r="AGV11" s="172"/>
      <c r="AGW11" s="172"/>
      <c r="AGX11" s="172"/>
      <c r="AGY11" s="172"/>
      <c r="AGZ11" s="172"/>
      <c r="AHA11" s="172"/>
      <c r="AHB11" s="172"/>
      <c r="AHC11" s="172"/>
      <c r="AHD11" s="172"/>
      <c r="AHE11" s="172"/>
      <c r="AHF11" s="172"/>
      <c r="AHG11" s="172"/>
      <c r="AHH11" s="172"/>
      <c r="AHI11" s="172"/>
      <c r="AHJ11" s="172"/>
      <c r="AHK11" s="172"/>
      <c r="AHL11" s="172"/>
      <c r="AHM11" s="172"/>
      <c r="AHN11" s="172"/>
      <c r="AHO11" s="172"/>
      <c r="AHP11" s="172"/>
      <c r="AHQ11" s="172"/>
      <c r="AHR11" s="172"/>
      <c r="AHS11" s="172"/>
      <c r="AHT11" s="172"/>
      <c r="AHU11" s="172"/>
      <c r="AHV11" s="172"/>
      <c r="AHW11" s="172"/>
      <c r="AHX11" s="172"/>
      <c r="AHY11" s="172"/>
      <c r="AHZ11" s="172"/>
      <c r="AIA11" s="172"/>
      <c r="AIB11" s="172"/>
      <c r="AIC11" s="172"/>
      <c r="AID11" s="172"/>
      <c r="AIE11" s="172"/>
      <c r="AIF11" s="172"/>
      <c r="AIG11" s="172"/>
      <c r="AIH11" s="172"/>
      <c r="AII11" s="172"/>
      <c r="AIJ11" s="172"/>
      <c r="AIK11" s="172"/>
      <c r="AIL11" s="172"/>
      <c r="AIM11" s="172"/>
      <c r="AIN11" s="172"/>
      <c r="AIO11" s="172"/>
      <c r="AIP11" s="172"/>
      <c r="AIQ11" s="172"/>
      <c r="AIR11" s="172"/>
      <c r="AIS11" s="172"/>
      <c r="AIT11" s="172"/>
      <c r="AIU11" s="172"/>
      <c r="AIV11" s="172"/>
      <c r="AIW11" s="172"/>
      <c r="AIX11" s="172"/>
      <c r="AIY11" s="172"/>
      <c r="AIZ11" s="172"/>
      <c r="AJA11" s="172"/>
      <c r="AJB11" s="172"/>
      <c r="AJC11" s="172"/>
      <c r="AJD11" s="172"/>
      <c r="AJE11" s="172"/>
      <c r="AJF11" s="172"/>
      <c r="AJG11" s="172"/>
      <c r="AJH11" s="172"/>
      <c r="AJI11" s="172"/>
      <c r="AJJ11" s="172"/>
      <c r="AJK11" s="172"/>
      <c r="AJL11" s="172"/>
      <c r="AJM11" s="172"/>
      <c r="AJN11" s="172"/>
      <c r="AJO11" s="172"/>
      <c r="AJP11" s="172"/>
      <c r="AJQ11" s="172"/>
      <c r="AJR11" s="172"/>
      <c r="AJS11" s="172"/>
      <c r="AJT11" s="172"/>
      <c r="AJU11" s="172"/>
      <c r="AJV11" s="172"/>
      <c r="AJW11" s="172"/>
      <c r="AJX11" s="172"/>
      <c r="AJY11" s="172"/>
      <c r="AJZ11" s="172"/>
      <c r="AKA11" s="172"/>
      <c r="AKB11" s="172"/>
      <c r="AKC11" s="172"/>
      <c r="AKD11" s="172"/>
      <c r="AKE11" s="172"/>
      <c r="AKF11" s="172"/>
      <c r="AKG11" s="172"/>
      <c r="AKH11" s="172"/>
      <c r="AKI11" s="172"/>
      <c r="AKJ11" s="172"/>
      <c r="AKK11" s="172"/>
      <c r="AKL11" s="172"/>
      <c r="AKM11" s="172"/>
      <c r="AKN11" s="172"/>
      <c r="AKO11" s="172"/>
      <c r="AKP11" s="172"/>
      <c r="AKQ11" s="172"/>
      <c r="AKR11" s="172"/>
      <c r="AKS11" s="172"/>
      <c r="AKT11" s="172"/>
      <c r="AKU11" s="172"/>
      <c r="AKV11" s="172"/>
      <c r="AKW11" s="172"/>
      <c r="AKX11" s="172"/>
      <c r="AKY11" s="172"/>
      <c r="AKZ11" s="172"/>
      <c r="ALA11" s="172"/>
      <c r="ALB11" s="172"/>
      <c r="ALC11" s="172"/>
      <c r="ALD11" s="172"/>
      <c r="ALE11" s="172"/>
      <c r="ALF11" s="172"/>
      <c r="ALG11" s="172"/>
      <c r="ALH11" s="172"/>
      <c r="ALI11" s="172"/>
      <c r="ALJ11" s="172"/>
      <c r="ALK11" s="172"/>
      <c r="ALL11" s="172"/>
      <c r="ALM11" s="172"/>
      <c r="ALN11" s="172"/>
      <c r="ALO11" s="172"/>
      <c r="ALP11" s="172"/>
      <c r="ALQ11" s="172"/>
      <c r="ALR11" s="172"/>
      <c r="ALS11" s="172"/>
      <c r="ALT11" s="172"/>
      <c r="ALU11" s="172"/>
      <c r="ALV11" s="172"/>
      <c r="ALW11" s="172"/>
      <c r="ALX11" s="172"/>
      <c r="ALY11" s="172"/>
      <c r="ALZ11" s="172"/>
      <c r="AMA11" s="172"/>
      <c r="AMB11" s="172"/>
      <c r="AMC11" s="172"/>
      <c r="AMD11" s="172"/>
      <c r="AME11" s="172"/>
      <c r="AMF11" s="172"/>
      <c r="AMG11" s="172"/>
      <c r="AMH11" s="172"/>
      <c r="AMI11" s="172"/>
      <c r="AMJ11" s="172"/>
      <c r="AMK11" s="172"/>
      <c r="AML11" s="172"/>
      <c r="AMM11" s="172"/>
      <c r="AMN11" s="172"/>
      <c r="AMO11" s="172"/>
      <c r="AMP11" s="172"/>
      <c r="AMQ11" s="172"/>
      <c r="AMR11" s="172"/>
      <c r="AMS11" s="172"/>
      <c r="AMT11" s="172"/>
      <c r="AMU11" s="172"/>
      <c r="AMV11" s="172"/>
      <c r="AMW11" s="172"/>
      <c r="AMX11" s="172"/>
      <c r="AMY11" s="172"/>
      <c r="AMZ11" s="172"/>
      <c r="ANA11" s="172"/>
      <c r="ANB11" s="172"/>
      <c r="ANC11" s="172"/>
      <c r="AND11" s="172"/>
      <c r="ANE11" s="172"/>
      <c r="ANF11" s="172"/>
      <c r="ANG11" s="172"/>
      <c r="ANH11" s="172"/>
      <c r="ANI11" s="172"/>
      <c r="ANJ11" s="172"/>
      <c r="ANK11" s="172"/>
      <c r="ANL11" s="172"/>
      <c r="ANM11" s="172"/>
      <c r="ANN11" s="172"/>
      <c r="ANO11" s="172"/>
      <c r="ANP11" s="172"/>
      <c r="ANQ11" s="172"/>
      <c r="ANR11" s="172"/>
      <c r="ANS11" s="172"/>
      <c r="ANT11" s="172"/>
      <c r="ANU11" s="172"/>
      <c r="ANV11" s="172"/>
      <c r="ANW11" s="172"/>
      <c r="ANX11" s="172"/>
      <c r="ANY11" s="172"/>
      <c r="ANZ11" s="172"/>
      <c r="AOA11" s="172"/>
      <c r="AOB11" s="172"/>
      <c r="AOC11" s="172"/>
      <c r="AOD11" s="172"/>
      <c r="AOE11" s="172"/>
      <c r="AOF11" s="172"/>
      <c r="AOG11" s="172"/>
      <c r="AOH11" s="172"/>
      <c r="AOI11" s="172"/>
      <c r="AOJ11" s="172"/>
      <c r="AOK11" s="172"/>
      <c r="AOL11" s="172"/>
      <c r="AOM11" s="172"/>
      <c r="AON11" s="172"/>
      <c r="AOO11" s="172"/>
      <c r="AOP11" s="172"/>
      <c r="AOQ11" s="172"/>
      <c r="AOR11" s="172"/>
      <c r="AOS11" s="172"/>
      <c r="AOT11" s="172"/>
      <c r="AOU11" s="172"/>
      <c r="AOV11" s="172"/>
      <c r="AOW11" s="172"/>
      <c r="AOX11" s="172"/>
      <c r="AOY11" s="172"/>
      <c r="AOZ11" s="172"/>
      <c r="APA11" s="172"/>
      <c r="APB11" s="172"/>
      <c r="APC11" s="172"/>
      <c r="APD11" s="172"/>
      <c r="APE11" s="172"/>
      <c r="APF11" s="172"/>
      <c r="APG11" s="172"/>
      <c r="APH11" s="172"/>
      <c r="API11" s="172"/>
      <c r="APJ11" s="172"/>
      <c r="APK11" s="172"/>
      <c r="APL11" s="172"/>
      <c r="APM11" s="172"/>
      <c r="APN11" s="172"/>
      <c r="APO11" s="172"/>
      <c r="APP11" s="172"/>
      <c r="APQ11" s="172"/>
      <c r="APR11" s="172"/>
      <c r="APS11" s="172"/>
      <c r="APT11" s="172"/>
      <c r="APU11" s="172"/>
      <c r="APV11" s="172"/>
      <c r="APW11" s="172"/>
      <c r="APX11" s="172"/>
      <c r="APY11" s="172"/>
      <c r="APZ11" s="172"/>
      <c r="AQA11" s="172"/>
      <c r="AQB11" s="172"/>
      <c r="AQC11" s="172"/>
      <c r="AQD11" s="172"/>
      <c r="AQE11" s="172"/>
      <c r="AQF11" s="172"/>
      <c r="AQG11" s="172"/>
      <c r="AQH11" s="172"/>
      <c r="AQI11" s="172"/>
      <c r="AQJ11" s="172"/>
      <c r="AQK11" s="172"/>
      <c r="AQL11" s="172"/>
      <c r="AQM11" s="172"/>
      <c r="AQN11" s="172"/>
      <c r="AQO11" s="172"/>
      <c r="AQP11" s="172"/>
      <c r="AQQ11" s="172"/>
      <c r="AQR11" s="172"/>
      <c r="AQS11" s="172"/>
      <c r="AQT11" s="172"/>
      <c r="AQU11" s="172"/>
      <c r="AQV11" s="172"/>
      <c r="AQW11" s="172"/>
      <c r="AQX11" s="172"/>
      <c r="AQY11" s="172"/>
      <c r="AQZ11" s="172"/>
      <c r="ARA11" s="172"/>
      <c r="ARB11" s="172"/>
      <c r="ARC11" s="172"/>
      <c r="ARD11" s="172"/>
      <c r="ARE11" s="172"/>
      <c r="ARF11" s="172"/>
      <c r="ARG11" s="172"/>
      <c r="ARH11" s="172"/>
      <c r="ARI11" s="172"/>
      <c r="ARJ11" s="172"/>
      <c r="ARK11" s="172"/>
      <c r="ARL11" s="172"/>
      <c r="ARM11" s="172"/>
      <c r="ARN11" s="172"/>
      <c r="ARO11" s="172"/>
      <c r="ARP11" s="172"/>
      <c r="ARQ11" s="172"/>
      <c r="ARR11" s="172"/>
      <c r="ARS11" s="172"/>
      <c r="ART11" s="172"/>
      <c r="ARU11" s="172"/>
      <c r="ARV11" s="172"/>
      <c r="ARW11" s="172"/>
      <c r="ARX11" s="172"/>
      <c r="ARY11" s="172"/>
      <c r="ARZ11" s="172"/>
      <c r="ASA11" s="172"/>
      <c r="ASB11" s="172"/>
      <c r="ASC11" s="172"/>
      <c r="ASD11" s="172"/>
      <c r="ASE11" s="172"/>
      <c r="ASF11" s="172"/>
      <c r="ASG11" s="172"/>
      <c r="ASH11" s="172"/>
      <c r="ASI11" s="172"/>
      <c r="ASJ11" s="172"/>
      <c r="ASK11" s="172"/>
      <c r="ASL11" s="172"/>
      <c r="ASM11" s="172"/>
      <c r="ASN11" s="172"/>
      <c r="ASO11" s="172"/>
      <c r="ASP11" s="172"/>
      <c r="ASQ11" s="172"/>
      <c r="ASR11" s="172"/>
      <c r="ASS11" s="172"/>
      <c r="AST11" s="172"/>
      <c r="ASU11" s="172"/>
      <c r="ASV11" s="172"/>
      <c r="ASW11" s="172"/>
      <c r="ASX11" s="172"/>
      <c r="ASY11" s="172"/>
      <c r="ASZ11" s="172"/>
      <c r="ATA11" s="172"/>
      <c r="ATB11" s="172"/>
      <c r="ATC11" s="172"/>
      <c r="ATD11" s="172"/>
      <c r="ATE11" s="172"/>
      <c r="ATF11" s="172"/>
      <c r="ATG11" s="172"/>
      <c r="ATH11" s="172"/>
      <c r="ATI11" s="172"/>
      <c r="ATJ11" s="172"/>
      <c r="ATK11" s="172"/>
      <c r="ATL11" s="172"/>
      <c r="ATM11" s="172"/>
      <c r="ATN11" s="172"/>
      <c r="ATO11" s="172"/>
      <c r="ATP11" s="172"/>
      <c r="ATQ11" s="172"/>
      <c r="ATR11" s="172"/>
      <c r="ATS11" s="172"/>
      <c r="ATT11" s="172"/>
      <c r="ATU11" s="172"/>
      <c r="ATV11" s="172"/>
      <c r="ATW11" s="172"/>
      <c r="ATX11" s="172"/>
      <c r="ATY11" s="172"/>
      <c r="ATZ11" s="172"/>
      <c r="AUA11" s="172"/>
      <c r="AUB11" s="172"/>
      <c r="AUC11" s="172"/>
      <c r="AUD11" s="172"/>
      <c r="AUE11" s="172"/>
      <c r="AUF11" s="172"/>
      <c r="AUG11" s="172"/>
      <c r="AUH11" s="172"/>
      <c r="AUI11" s="172"/>
      <c r="AUJ11" s="172"/>
      <c r="AUK11" s="172"/>
      <c r="AUL11" s="172"/>
      <c r="AUM11" s="172"/>
      <c r="AUN11" s="172"/>
      <c r="AUO11" s="172"/>
      <c r="AUP11" s="172"/>
      <c r="AUQ11" s="172"/>
      <c r="AUR11" s="172"/>
      <c r="AUS11" s="172"/>
      <c r="AUT11" s="172"/>
      <c r="AUU11" s="172"/>
      <c r="AUV11" s="172"/>
      <c r="AUW11" s="172"/>
      <c r="AUX11" s="172"/>
      <c r="AUY11" s="172"/>
      <c r="AUZ11" s="172"/>
      <c r="AVA11" s="172"/>
      <c r="AVB11" s="172"/>
      <c r="AVC11" s="172"/>
      <c r="AVD11" s="172"/>
      <c r="AVE11" s="172"/>
      <c r="AVF11" s="172"/>
      <c r="AVG11" s="172"/>
      <c r="AVH11" s="172"/>
      <c r="AVI11" s="172"/>
      <c r="AVJ11" s="172"/>
      <c r="AVK11" s="172"/>
      <c r="AVL11" s="172"/>
      <c r="AVM11" s="172"/>
      <c r="AVN11" s="172"/>
      <c r="AVO11" s="172"/>
      <c r="AVP11" s="172"/>
      <c r="AVQ11" s="172"/>
      <c r="AVR11" s="172"/>
      <c r="AVS11" s="172"/>
      <c r="AVT11" s="172"/>
      <c r="AVU11" s="172"/>
      <c r="AVV11" s="172"/>
      <c r="AVW11" s="172"/>
      <c r="AVX11" s="172"/>
      <c r="AVY11" s="172"/>
      <c r="AVZ11" s="172"/>
      <c r="AWA11" s="172"/>
      <c r="AWB11" s="172"/>
      <c r="AWC11" s="172"/>
      <c r="AWD11" s="172"/>
      <c r="AWE11" s="172"/>
      <c r="AWF11" s="172"/>
      <c r="AWG11" s="172"/>
      <c r="AWH11" s="172"/>
      <c r="AWI11" s="172"/>
      <c r="AWJ11" s="172"/>
      <c r="AWK11" s="172"/>
      <c r="AWL11" s="172"/>
      <c r="AWM11" s="172"/>
      <c r="AWN11" s="172"/>
      <c r="AWO11" s="172"/>
      <c r="AWP11" s="172"/>
      <c r="AWQ11" s="172"/>
      <c r="AWR11" s="172"/>
      <c r="AWS11" s="172"/>
      <c r="AWT11" s="172"/>
      <c r="AWU11" s="172"/>
      <c r="AWV11" s="172"/>
      <c r="AWW11" s="172"/>
      <c r="AWX11" s="172"/>
      <c r="AWY11" s="172"/>
      <c r="AWZ11" s="172"/>
      <c r="AXA11" s="172"/>
      <c r="AXB11" s="172"/>
      <c r="AXC11" s="172"/>
      <c r="AXD11" s="172"/>
      <c r="AXE11" s="172"/>
      <c r="AXF11" s="172"/>
      <c r="AXG11" s="172"/>
      <c r="AXH11" s="172"/>
      <c r="AXI11" s="172"/>
      <c r="AXJ11" s="172"/>
      <c r="AXK11" s="172"/>
      <c r="AXL11" s="172"/>
      <c r="AXM11" s="172"/>
      <c r="AXN11" s="172"/>
      <c r="AXO11" s="172"/>
      <c r="AXP11" s="172"/>
      <c r="AXQ11" s="172"/>
      <c r="AXR11" s="172"/>
      <c r="AXS11" s="172"/>
      <c r="AXT11" s="172"/>
      <c r="AXU11" s="172"/>
      <c r="AXV11" s="172"/>
      <c r="AXW11" s="172"/>
      <c r="AXX11" s="172"/>
      <c r="AXY11" s="172"/>
      <c r="AXZ11" s="73"/>
      <c r="BAH11" s="71" t="s">
        <v>90</v>
      </c>
      <c r="BCP11" s="71" t="s">
        <v>87</v>
      </c>
      <c r="BEX11" s="71" t="s">
        <v>87</v>
      </c>
      <c r="BHF11" s="71" t="s">
        <v>85</v>
      </c>
    </row>
    <row r="12" spans="1:1566" ht="49.5" customHeight="1" thickBot="1" x14ac:dyDescent="0.3">
      <c r="B12" s="143"/>
      <c r="C12" s="178"/>
      <c r="D12" s="178"/>
      <c r="E12" s="178"/>
      <c r="F12" s="176" t="s">
        <v>66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176"/>
      <c r="BJ12" s="176"/>
      <c r="BK12" s="176"/>
      <c r="BL12" s="176"/>
      <c r="BM12" s="176"/>
      <c r="BN12" s="176" t="s">
        <v>70</v>
      </c>
      <c r="BO12" s="176"/>
      <c r="BP12" s="176"/>
      <c r="BQ12" s="176"/>
      <c r="BR12" s="176"/>
      <c r="BS12" s="176"/>
      <c r="BT12" s="176"/>
      <c r="BU12" s="176"/>
      <c r="BV12" s="176"/>
      <c r="BW12" s="176"/>
      <c r="BX12" s="176"/>
      <c r="BY12" s="176"/>
      <c r="BZ12" s="176"/>
      <c r="CA12" s="176"/>
      <c r="CB12" s="176"/>
      <c r="CC12" s="176"/>
      <c r="CD12" s="176"/>
      <c r="CE12" s="176"/>
      <c r="CF12" s="176"/>
      <c r="CG12" s="176"/>
      <c r="CH12" s="176"/>
      <c r="CI12" s="176"/>
      <c r="CJ12" s="176"/>
      <c r="CK12" s="176"/>
      <c r="CL12" s="176"/>
      <c r="CM12" s="176"/>
      <c r="CN12" s="176"/>
      <c r="CO12" s="176"/>
      <c r="CP12" s="176"/>
      <c r="CQ12" s="176"/>
      <c r="CR12" s="176"/>
      <c r="CS12" s="176"/>
      <c r="CT12" s="176"/>
      <c r="CU12" s="176"/>
      <c r="CV12" s="176"/>
      <c r="CW12" s="176"/>
      <c r="CX12" s="176"/>
      <c r="CY12" s="176"/>
      <c r="CZ12" s="176"/>
      <c r="DA12" s="176"/>
      <c r="DB12" s="176"/>
      <c r="DC12" s="176"/>
      <c r="DD12" s="176"/>
      <c r="DE12" s="176"/>
      <c r="DF12" s="176"/>
      <c r="DG12" s="176"/>
      <c r="DH12" s="176"/>
      <c r="DI12" s="176"/>
      <c r="DJ12" s="176"/>
      <c r="DK12" s="176"/>
      <c r="DL12" s="176"/>
      <c r="DM12" s="176"/>
      <c r="DN12" s="176"/>
      <c r="DO12" s="176"/>
      <c r="DP12" s="176"/>
      <c r="DQ12" s="176"/>
      <c r="DR12" s="176"/>
      <c r="DS12" s="176"/>
      <c r="DT12" s="176"/>
      <c r="DU12" s="176"/>
      <c r="DV12" s="184" t="s">
        <v>66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90" t="s">
        <v>70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66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70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66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70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/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/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/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/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/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/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/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/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/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/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/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/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/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/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73"/>
      <c r="BAH12" s="2" t="s">
        <v>70</v>
      </c>
      <c r="BCP12" s="2" t="s">
        <v>66</v>
      </c>
      <c r="BEX12" s="2" t="s">
        <v>70</v>
      </c>
      <c r="BHF12" s="2" t="s">
        <v>66</v>
      </c>
    </row>
    <row r="13" spans="1:1566" ht="42.75" customHeight="1" thickBot="1" x14ac:dyDescent="0.3">
      <c r="B13" s="51"/>
      <c r="C13" s="182" t="s">
        <v>12</v>
      </c>
      <c r="D13" s="117"/>
      <c r="E13" s="180" t="s">
        <v>13</v>
      </c>
      <c r="F13" s="173" t="s">
        <v>14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5"/>
      <c r="BN13" s="173" t="s">
        <v>15</v>
      </c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5"/>
      <c r="DV13" s="173" t="s">
        <v>16</v>
      </c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5"/>
      <c r="GD13" s="173" t="s">
        <v>97</v>
      </c>
      <c r="GE13" s="174"/>
      <c r="GF13" s="174"/>
      <c r="GG13" s="174"/>
      <c r="GH13" s="174"/>
      <c r="GI13" s="174"/>
      <c r="GJ13" s="174"/>
      <c r="GK13" s="174"/>
      <c r="GL13" s="174"/>
      <c r="GM13" s="174"/>
      <c r="GN13" s="174"/>
      <c r="GO13" s="174"/>
      <c r="GP13" s="174"/>
      <c r="GQ13" s="174"/>
      <c r="GR13" s="174"/>
      <c r="GS13" s="174"/>
      <c r="GT13" s="174"/>
      <c r="GU13" s="174"/>
      <c r="GV13" s="174"/>
      <c r="GW13" s="174"/>
      <c r="GX13" s="174"/>
      <c r="GY13" s="174"/>
      <c r="GZ13" s="174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74"/>
      <c r="IB13" s="174"/>
      <c r="IC13" s="174"/>
      <c r="ID13" s="174"/>
      <c r="IE13" s="174"/>
      <c r="IF13" s="174"/>
      <c r="IG13" s="174"/>
      <c r="IH13" s="174"/>
      <c r="II13" s="174"/>
      <c r="IJ13" s="174"/>
      <c r="IK13" s="175"/>
      <c r="IL13" s="173" t="s">
        <v>96</v>
      </c>
      <c r="IM13" s="174"/>
      <c r="IN13" s="174"/>
      <c r="IO13" s="174"/>
      <c r="IP13" s="174"/>
      <c r="IQ13" s="174"/>
      <c r="IR13" s="174"/>
      <c r="IS13" s="174"/>
      <c r="IT13" s="174"/>
      <c r="IU13" s="174"/>
      <c r="IV13" s="174"/>
      <c r="IW13" s="174"/>
      <c r="IX13" s="174"/>
      <c r="IY13" s="174"/>
      <c r="IZ13" s="174"/>
      <c r="JA13" s="174"/>
      <c r="JB13" s="174"/>
      <c r="JC13" s="174"/>
      <c r="JD13" s="174"/>
      <c r="JE13" s="174"/>
      <c r="JF13" s="174"/>
      <c r="JG13" s="174"/>
      <c r="JH13" s="174"/>
      <c r="JI13" s="174"/>
      <c r="JJ13" s="174"/>
      <c r="JK13" s="174"/>
      <c r="JL13" s="174"/>
      <c r="JM13" s="174"/>
      <c r="JN13" s="174"/>
      <c r="JO13" s="174"/>
      <c r="JP13" s="174"/>
      <c r="JQ13" s="174"/>
      <c r="JR13" s="174"/>
      <c r="JS13" s="174"/>
      <c r="JT13" s="174"/>
      <c r="JU13" s="174"/>
      <c r="JV13" s="174"/>
      <c r="JW13" s="174"/>
      <c r="JX13" s="174"/>
      <c r="JY13" s="174"/>
      <c r="JZ13" s="174"/>
      <c r="KA13" s="174"/>
      <c r="KB13" s="174"/>
      <c r="KC13" s="174"/>
      <c r="KD13" s="174"/>
      <c r="KE13" s="174"/>
      <c r="KF13" s="174"/>
      <c r="KG13" s="174"/>
      <c r="KH13" s="174"/>
      <c r="KI13" s="174"/>
      <c r="KJ13" s="174"/>
      <c r="KK13" s="174"/>
      <c r="KL13" s="174"/>
      <c r="KM13" s="174"/>
      <c r="KN13" s="174"/>
      <c r="KO13" s="174"/>
      <c r="KP13" s="174"/>
      <c r="KQ13" s="174"/>
      <c r="KR13" s="174"/>
      <c r="KS13" s="175"/>
      <c r="KT13" s="173" t="s">
        <v>94</v>
      </c>
      <c r="KU13" s="174"/>
      <c r="KV13" s="174"/>
      <c r="KW13" s="174"/>
      <c r="KX13" s="174"/>
      <c r="KY13" s="174"/>
      <c r="KZ13" s="174"/>
      <c r="LA13" s="174"/>
      <c r="LB13" s="174"/>
      <c r="LC13" s="174"/>
      <c r="LD13" s="174"/>
      <c r="LE13" s="174"/>
      <c r="LF13" s="174"/>
      <c r="LG13" s="174"/>
      <c r="LH13" s="174"/>
      <c r="LI13" s="174"/>
      <c r="LJ13" s="174"/>
      <c r="LK13" s="174"/>
      <c r="LL13" s="174"/>
      <c r="LM13" s="174"/>
      <c r="LN13" s="174"/>
      <c r="LO13" s="174"/>
      <c r="LP13" s="174"/>
      <c r="LQ13" s="174"/>
      <c r="LR13" s="174"/>
      <c r="LS13" s="174"/>
      <c r="LT13" s="174"/>
      <c r="LU13" s="174"/>
      <c r="LV13" s="174"/>
      <c r="LW13" s="174"/>
      <c r="LX13" s="174"/>
      <c r="LY13" s="174"/>
      <c r="LZ13" s="174"/>
      <c r="MA13" s="174"/>
      <c r="MB13" s="174"/>
      <c r="MC13" s="174"/>
      <c r="MD13" s="174"/>
      <c r="ME13" s="174"/>
      <c r="MF13" s="174"/>
      <c r="MG13" s="174"/>
      <c r="MH13" s="174"/>
      <c r="MI13" s="174"/>
      <c r="MJ13" s="174"/>
      <c r="MK13" s="174"/>
      <c r="ML13" s="174"/>
      <c r="MM13" s="174"/>
      <c r="MN13" s="174"/>
      <c r="MO13" s="174"/>
      <c r="MP13" s="174"/>
      <c r="MQ13" s="174"/>
      <c r="MR13" s="174"/>
      <c r="MS13" s="174"/>
      <c r="MT13" s="174"/>
      <c r="MU13" s="174"/>
      <c r="MV13" s="174"/>
      <c r="MW13" s="174"/>
      <c r="MX13" s="174"/>
      <c r="MY13" s="174"/>
      <c r="MZ13" s="174"/>
      <c r="NA13" s="175"/>
      <c r="NB13" s="173" t="s">
        <v>93</v>
      </c>
      <c r="NC13" s="174"/>
      <c r="ND13" s="174"/>
      <c r="NE13" s="174"/>
      <c r="NF13" s="174"/>
      <c r="NG13" s="174"/>
      <c r="NH13" s="174"/>
      <c r="NI13" s="174"/>
      <c r="NJ13" s="174"/>
      <c r="NK13" s="174"/>
      <c r="NL13" s="174"/>
      <c r="NM13" s="174"/>
      <c r="NN13" s="174"/>
      <c r="NO13" s="174"/>
      <c r="NP13" s="174"/>
      <c r="NQ13" s="174"/>
      <c r="NR13" s="174"/>
      <c r="NS13" s="174"/>
      <c r="NT13" s="174"/>
      <c r="NU13" s="174"/>
      <c r="NV13" s="174"/>
      <c r="NW13" s="174"/>
      <c r="NX13" s="174"/>
      <c r="NY13" s="174"/>
      <c r="NZ13" s="174"/>
      <c r="OA13" s="174"/>
      <c r="OB13" s="174"/>
      <c r="OC13" s="174"/>
      <c r="OD13" s="174"/>
      <c r="OE13" s="174"/>
      <c r="OF13" s="174"/>
      <c r="OG13" s="174"/>
      <c r="OH13" s="174"/>
      <c r="OI13" s="174"/>
      <c r="OJ13" s="174"/>
      <c r="OK13" s="174"/>
      <c r="OL13" s="174"/>
      <c r="OM13" s="174"/>
      <c r="ON13" s="174"/>
      <c r="OO13" s="174"/>
      <c r="OP13" s="174"/>
      <c r="OQ13" s="174"/>
      <c r="OR13" s="174"/>
      <c r="OS13" s="174"/>
      <c r="OT13" s="174"/>
      <c r="OU13" s="174"/>
      <c r="OV13" s="174"/>
      <c r="OW13" s="174"/>
      <c r="OX13" s="174"/>
      <c r="OY13" s="174"/>
      <c r="OZ13" s="174"/>
      <c r="PA13" s="174"/>
      <c r="PB13" s="174"/>
      <c r="PC13" s="174"/>
      <c r="PD13" s="174"/>
      <c r="PE13" s="174"/>
      <c r="PF13" s="174"/>
      <c r="PG13" s="174"/>
      <c r="PH13" s="174"/>
      <c r="PI13" s="175"/>
      <c r="PJ13" s="173" t="s">
        <v>91</v>
      </c>
      <c r="PK13" s="174"/>
      <c r="PL13" s="174"/>
      <c r="PM13" s="174"/>
      <c r="PN13" s="174"/>
      <c r="PO13" s="174"/>
      <c r="PP13" s="174"/>
      <c r="PQ13" s="174"/>
      <c r="PR13" s="174"/>
      <c r="PS13" s="174"/>
      <c r="PT13" s="174"/>
      <c r="PU13" s="174"/>
      <c r="PV13" s="174"/>
      <c r="PW13" s="174"/>
      <c r="PX13" s="174"/>
      <c r="PY13" s="174"/>
      <c r="PZ13" s="174"/>
      <c r="QA13" s="174"/>
      <c r="QB13" s="174"/>
      <c r="QC13" s="174"/>
      <c r="QD13" s="174"/>
      <c r="QE13" s="174"/>
      <c r="QF13" s="174"/>
      <c r="QG13" s="174"/>
      <c r="QH13" s="174"/>
      <c r="QI13" s="174"/>
      <c r="QJ13" s="174"/>
      <c r="QK13" s="174"/>
      <c r="QL13" s="174"/>
      <c r="QM13" s="174"/>
      <c r="QN13" s="174"/>
      <c r="QO13" s="174"/>
      <c r="QP13" s="174"/>
      <c r="QQ13" s="174"/>
      <c r="QR13" s="174"/>
      <c r="QS13" s="174"/>
      <c r="QT13" s="174"/>
      <c r="QU13" s="174"/>
      <c r="QV13" s="174"/>
      <c r="QW13" s="174"/>
      <c r="QX13" s="174"/>
      <c r="QY13" s="174"/>
      <c r="QZ13" s="174"/>
      <c r="RA13" s="174"/>
      <c r="RB13" s="174"/>
      <c r="RC13" s="174"/>
      <c r="RD13" s="174"/>
      <c r="RE13" s="174"/>
      <c r="RF13" s="174"/>
      <c r="RG13" s="174"/>
      <c r="RH13" s="174"/>
      <c r="RI13" s="174"/>
      <c r="RJ13" s="174"/>
      <c r="RK13" s="174"/>
      <c r="RL13" s="174"/>
      <c r="RM13" s="174"/>
      <c r="RN13" s="174"/>
      <c r="RO13" s="174"/>
      <c r="RP13" s="174"/>
      <c r="RQ13" s="175"/>
      <c r="RR13" s="173" t="s">
        <v>33</v>
      </c>
      <c r="RS13" s="174"/>
      <c r="RT13" s="174"/>
      <c r="RU13" s="174"/>
      <c r="RV13" s="174"/>
      <c r="RW13" s="174"/>
      <c r="RX13" s="174"/>
      <c r="RY13" s="174"/>
      <c r="RZ13" s="174"/>
      <c r="SA13" s="174"/>
      <c r="SB13" s="174"/>
      <c r="SC13" s="174"/>
      <c r="SD13" s="174"/>
      <c r="SE13" s="174"/>
      <c r="SF13" s="174"/>
      <c r="SG13" s="174"/>
      <c r="SH13" s="174"/>
      <c r="SI13" s="174"/>
      <c r="SJ13" s="174"/>
      <c r="SK13" s="174"/>
      <c r="SL13" s="174"/>
      <c r="SM13" s="174"/>
      <c r="SN13" s="174"/>
      <c r="SO13" s="174"/>
      <c r="SP13" s="174"/>
      <c r="SQ13" s="174"/>
      <c r="SR13" s="174"/>
      <c r="SS13" s="174"/>
      <c r="ST13" s="174"/>
      <c r="SU13" s="174"/>
      <c r="SV13" s="174"/>
      <c r="SW13" s="174"/>
      <c r="SX13" s="174"/>
      <c r="SY13" s="174"/>
      <c r="SZ13" s="174"/>
      <c r="TA13" s="174"/>
      <c r="TB13" s="174"/>
      <c r="TC13" s="174"/>
      <c r="TD13" s="174"/>
      <c r="TE13" s="174"/>
      <c r="TF13" s="174"/>
      <c r="TG13" s="174"/>
      <c r="TH13" s="174"/>
      <c r="TI13" s="174"/>
      <c r="TJ13" s="174"/>
      <c r="TK13" s="174"/>
      <c r="TL13" s="174"/>
      <c r="TM13" s="174"/>
      <c r="TN13" s="174"/>
      <c r="TO13" s="174"/>
      <c r="TP13" s="174"/>
      <c r="TQ13" s="174"/>
      <c r="TR13" s="174"/>
      <c r="TS13" s="174"/>
      <c r="TT13" s="174"/>
      <c r="TU13" s="174"/>
      <c r="TV13" s="174"/>
      <c r="TW13" s="174"/>
      <c r="TX13" s="174"/>
      <c r="TY13" s="175"/>
      <c r="TZ13" s="173" t="s">
        <v>33</v>
      </c>
      <c r="UA13" s="174"/>
      <c r="UB13" s="174"/>
      <c r="UC13" s="174"/>
      <c r="UD13" s="174"/>
      <c r="UE13" s="174"/>
      <c r="UF13" s="174"/>
      <c r="UG13" s="174"/>
      <c r="UH13" s="174"/>
      <c r="UI13" s="174"/>
      <c r="UJ13" s="174"/>
      <c r="UK13" s="174"/>
      <c r="UL13" s="174"/>
      <c r="UM13" s="174"/>
      <c r="UN13" s="174"/>
      <c r="UO13" s="174"/>
      <c r="UP13" s="174"/>
      <c r="UQ13" s="174"/>
      <c r="UR13" s="174"/>
      <c r="US13" s="174"/>
      <c r="UT13" s="174"/>
      <c r="UU13" s="174"/>
      <c r="UV13" s="174"/>
      <c r="UW13" s="174"/>
      <c r="UX13" s="174"/>
      <c r="UY13" s="174"/>
      <c r="UZ13" s="174"/>
      <c r="VA13" s="174"/>
      <c r="VB13" s="174"/>
      <c r="VC13" s="174"/>
      <c r="VD13" s="174"/>
      <c r="VE13" s="174"/>
      <c r="VF13" s="174"/>
      <c r="VG13" s="174"/>
      <c r="VH13" s="174"/>
      <c r="VI13" s="174"/>
      <c r="VJ13" s="174"/>
      <c r="VK13" s="174"/>
      <c r="VL13" s="174"/>
      <c r="VM13" s="174"/>
      <c r="VN13" s="174"/>
      <c r="VO13" s="174"/>
      <c r="VP13" s="174"/>
      <c r="VQ13" s="174"/>
      <c r="VR13" s="174"/>
      <c r="VS13" s="174"/>
      <c r="VT13" s="174"/>
      <c r="VU13" s="174"/>
      <c r="VV13" s="174"/>
      <c r="VW13" s="174"/>
      <c r="VX13" s="174"/>
      <c r="VY13" s="174"/>
      <c r="VZ13" s="174"/>
      <c r="WA13" s="174"/>
      <c r="WB13" s="174"/>
      <c r="WC13" s="174"/>
      <c r="WD13" s="174"/>
      <c r="WE13" s="174"/>
      <c r="WF13" s="174"/>
      <c r="WG13" s="175"/>
      <c r="WH13" s="173" t="s">
        <v>33</v>
      </c>
      <c r="WI13" s="174"/>
      <c r="WJ13" s="174"/>
      <c r="WK13" s="174"/>
      <c r="WL13" s="174"/>
      <c r="WM13" s="174"/>
      <c r="WN13" s="174"/>
      <c r="WO13" s="174"/>
      <c r="WP13" s="174"/>
      <c r="WQ13" s="174"/>
      <c r="WR13" s="174"/>
      <c r="WS13" s="174"/>
      <c r="WT13" s="174"/>
      <c r="WU13" s="174"/>
      <c r="WV13" s="174"/>
      <c r="WW13" s="174"/>
      <c r="WX13" s="174"/>
      <c r="WY13" s="174"/>
      <c r="WZ13" s="174"/>
      <c r="XA13" s="174"/>
      <c r="XB13" s="174"/>
      <c r="XC13" s="174"/>
      <c r="XD13" s="174"/>
      <c r="XE13" s="174"/>
      <c r="XF13" s="174"/>
      <c r="XG13" s="174"/>
      <c r="XH13" s="174"/>
      <c r="XI13" s="174"/>
      <c r="XJ13" s="174"/>
      <c r="XK13" s="174"/>
      <c r="XL13" s="174"/>
      <c r="XM13" s="174"/>
      <c r="XN13" s="174"/>
      <c r="XO13" s="174"/>
      <c r="XP13" s="174"/>
      <c r="XQ13" s="174"/>
      <c r="XR13" s="174"/>
      <c r="XS13" s="174"/>
      <c r="XT13" s="174"/>
      <c r="XU13" s="174"/>
      <c r="XV13" s="174"/>
      <c r="XW13" s="174"/>
      <c r="XX13" s="174"/>
      <c r="XY13" s="174"/>
      <c r="XZ13" s="174"/>
      <c r="YA13" s="174"/>
      <c r="YB13" s="174"/>
      <c r="YC13" s="174"/>
      <c r="YD13" s="174"/>
      <c r="YE13" s="174"/>
      <c r="YF13" s="174"/>
      <c r="YG13" s="174"/>
      <c r="YH13" s="174"/>
      <c r="YI13" s="174"/>
      <c r="YJ13" s="174"/>
      <c r="YK13" s="174"/>
      <c r="YL13" s="174"/>
      <c r="YM13" s="174"/>
      <c r="YN13" s="174"/>
      <c r="YO13" s="175"/>
      <c r="YP13" s="173" t="s">
        <v>33</v>
      </c>
      <c r="YQ13" s="174"/>
      <c r="YR13" s="174"/>
      <c r="YS13" s="174"/>
      <c r="YT13" s="174"/>
      <c r="YU13" s="174"/>
      <c r="YV13" s="174"/>
      <c r="YW13" s="174"/>
      <c r="YX13" s="174"/>
      <c r="YY13" s="174"/>
      <c r="YZ13" s="174"/>
      <c r="ZA13" s="174"/>
      <c r="ZB13" s="174"/>
      <c r="ZC13" s="174"/>
      <c r="ZD13" s="174"/>
      <c r="ZE13" s="174"/>
      <c r="ZF13" s="174"/>
      <c r="ZG13" s="174"/>
      <c r="ZH13" s="174"/>
      <c r="ZI13" s="174"/>
      <c r="ZJ13" s="174"/>
      <c r="ZK13" s="174"/>
      <c r="ZL13" s="174"/>
      <c r="ZM13" s="174"/>
      <c r="ZN13" s="174"/>
      <c r="ZO13" s="174"/>
      <c r="ZP13" s="174"/>
      <c r="ZQ13" s="174"/>
      <c r="ZR13" s="174"/>
      <c r="ZS13" s="174"/>
      <c r="ZT13" s="174"/>
      <c r="ZU13" s="174"/>
      <c r="ZV13" s="174"/>
      <c r="ZW13" s="174"/>
      <c r="ZX13" s="174"/>
      <c r="ZY13" s="174"/>
      <c r="ZZ13" s="174"/>
      <c r="AAA13" s="174"/>
      <c r="AAB13" s="174"/>
      <c r="AAC13" s="174"/>
      <c r="AAD13" s="174"/>
      <c r="AAE13" s="174"/>
      <c r="AAF13" s="174"/>
      <c r="AAG13" s="174"/>
      <c r="AAH13" s="174"/>
      <c r="AAI13" s="174"/>
      <c r="AAJ13" s="174"/>
      <c r="AAK13" s="174"/>
      <c r="AAL13" s="174"/>
      <c r="AAM13" s="174"/>
      <c r="AAN13" s="174"/>
      <c r="AAO13" s="174"/>
      <c r="AAP13" s="174"/>
      <c r="AAQ13" s="174"/>
      <c r="AAR13" s="174"/>
      <c r="AAS13" s="174"/>
      <c r="AAT13" s="174"/>
      <c r="AAU13" s="174"/>
      <c r="AAV13" s="174"/>
      <c r="AAW13" s="175"/>
      <c r="AAX13" s="173" t="s">
        <v>33</v>
      </c>
      <c r="AAY13" s="174"/>
      <c r="AAZ13" s="174"/>
      <c r="ABA13" s="174"/>
      <c r="ABB13" s="174"/>
      <c r="ABC13" s="174"/>
      <c r="ABD13" s="174"/>
      <c r="ABE13" s="174"/>
      <c r="ABF13" s="174"/>
      <c r="ABG13" s="174"/>
      <c r="ABH13" s="174"/>
      <c r="ABI13" s="174"/>
      <c r="ABJ13" s="174"/>
      <c r="ABK13" s="174"/>
      <c r="ABL13" s="174"/>
      <c r="ABM13" s="174"/>
      <c r="ABN13" s="174"/>
      <c r="ABO13" s="174"/>
      <c r="ABP13" s="174"/>
      <c r="ABQ13" s="174"/>
      <c r="ABR13" s="174"/>
      <c r="ABS13" s="174"/>
      <c r="ABT13" s="174"/>
      <c r="ABU13" s="174"/>
      <c r="ABV13" s="174"/>
      <c r="ABW13" s="174"/>
      <c r="ABX13" s="174"/>
      <c r="ABY13" s="174"/>
      <c r="ABZ13" s="174"/>
      <c r="ACA13" s="174"/>
      <c r="ACB13" s="174"/>
      <c r="ACC13" s="174"/>
      <c r="ACD13" s="174"/>
      <c r="ACE13" s="174"/>
      <c r="ACF13" s="174"/>
      <c r="ACG13" s="174"/>
      <c r="ACH13" s="174"/>
      <c r="ACI13" s="174"/>
      <c r="ACJ13" s="174"/>
      <c r="ACK13" s="174"/>
      <c r="ACL13" s="174"/>
      <c r="ACM13" s="174"/>
      <c r="ACN13" s="174"/>
      <c r="ACO13" s="174"/>
      <c r="ACP13" s="174"/>
      <c r="ACQ13" s="174"/>
      <c r="ACR13" s="174"/>
      <c r="ACS13" s="174"/>
      <c r="ACT13" s="174"/>
      <c r="ACU13" s="174"/>
      <c r="ACV13" s="174"/>
      <c r="ACW13" s="174"/>
      <c r="ACX13" s="174"/>
      <c r="ACY13" s="174"/>
      <c r="ACZ13" s="174"/>
      <c r="ADA13" s="174"/>
      <c r="ADB13" s="174"/>
      <c r="ADC13" s="174"/>
      <c r="ADD13" s="174"/>
      <c r="ADE13" s="175"/>
      <c r="ADF13" s="173" t="s">
        <v>33</v>
      </c>
      <c r="ADG13" s="174"/>
      <c r="ADH13" s="174"/>
      <c r="ADI13" s="174"/>
      <c r="ADJ13" s="174"/>
      <c r="ADK13" s="174"/>
      <c r="ADL13" s="174"/>
      <c r="ADM13" s="174"/>
      <c r="ADN13" s="174"/>
      <c r="ADO13" s="174"/>
      <c r="ADP13" s="174"/>
      <c r="ADQ13" s="174"/>
      <c r="ADR13" s="174"/>
      <c r="ADS13" s="174"/>
      <c r="ADT13" s="174"/>
      <c r="ADU13" s="174"/>
      <c r="ADV13" s="174"/>
      <c r="ADW13" s="174"/>
      <c r="ADX13" s="174"/>
      <c r="ADY13" s="174"/>
      <c r="ADZ13" s="174"/>
      <c r="AEA13" s="174"/>
      <c r="AEB13" s="174"/>
      <c r="AEC13" s="174"/>
      <c r="AED13" s="174"/>
      <c r="AEE13" s="174"/>
      <c r="AEF13" s="174"/>
      <c r="AEG13" s="174"/>
      <c r="AEH13" s="174"/>
      <c r="AEI13" s="174"/>
      <c r="AEJ13" s="174"/>
      <c r="AEK13" s="174"/>
      <c r="AEL13" s="174"/>
      <c r="AEM13" s="174"/>
      <c r="AEN13" s="174"/>
      <c r="AEO13" s="174"/>
      <c r="AEP13" s="174"/>
      <c r="AEQ13" s="174"/>
      <c r="AER13" s="174"/>
      <c r="AES13" s="174"/>
      <c r="AET13" s="174"/>
      <c r="AEU13" s="174"/>
      <c r="AEV13" s="174"/>
      <c r="AEW13" s="174"/>
      <c r="AEX13" s="174"/>
      <c r="AEY13" s="174"/>
      <c r="AEZ13" s="174"/>
      <c r="AFA13" s="174"/>
      <c r="AFB13" s="174"/>
      <c r="AFC13" s="174"/>
      <c r="AFD13" s="174"/>
      <c r="AFE13" s="174"/>
      <c r="AFF13" s="174"/>
      <c r="AFG13" s="174"/>
      <c r="AFH13" s="174"/>
      <c r="AFI13" s="174"/>
      <c r="AFJ13" s="174"/>
      <c r="AFK13" s="174"/>
      <c r="AFL13" s="174"/>
      <c r="AFM13" s="175"/>
      <c r="AFN13" s="173" t="s">
        <v>33</v>
      </c>
      <c r="AFO13" s="174"/>
      <c r="AFP13" s="174"/>
      <c r="AFQ13" s="174"/>
      <c r="AFR13" s="174"/>
      <c r="AFS13" s="174"/>
      <c r="AFT13" s="174"/>
      <c r="AFU13" s="174"/>
      <c r="AFV13" s="174"/>
      <c r="AFW13" s="174"/>
      <c r="AFX13" s="174"/>
      <c r="AFY13" s="174"/>
      <c r="AFZ13" s="174"/>
      <c r="AGA13" s="174"/>
      <c r="AGB13" s="174"/>
      <c r="AGC13" s="174"/>
      <c r="AGD13" s="174"/>
      <c r="AGE13" s="174"/>
      <c r="AGF13" s="174"/>
      <c r="AGG13" s="174"/>
      <c r="AGH13" s="174"/>
      <c r="AGI13" s="174"/>
      <c r="AGJ13" s="174"/>
      <c r="AGK13" s="174"/>
      <c r="AGL13" s="174"/>
      <c r="AGM13" s="174"/>
      <c r="AGN13" s="174"/>
      <c r="AGO13" s="174"/>
      <c r="AGP13" s="174"/>
      <c r="AGQ13" s="174"/>
      <c r="AGR13" s="174"/>
      <c r="AGS13" s="174"/>
      <c r="AGT13" s="174"/>
      <c r="AGU13" s="174"/>
      <c r="AGV13" s="174"/>
      <c r="AGW13" s="174"/>
      <c r="AGX13" s="174"/>
      <c r="AGY13" s="174"/>
      <c r="AGZ13" s="174"/>
      <c r="AHA13" s="174"/>
      <c r="AHB13" s="174"/>
      <c r="AHC13" s="174"/>
      <c r="AHD13" s="174"/>
      <c r="AHE13" s="174"/>
      <c r="AHF13" s="174"/>
      <c r="AHG13" s="174"/>
      <c r="AHH13" s="174"/>
      <c r="AHI13" s="174"/>
      <c r="AHJ13" s="174"/>
      <c r="AHK13" s="174"/>
      <c r="AHL13" s="174"/>
      <c r="AHM13" s="174"/>
      <c r="AHN13" s="174"/>
      <c r="AHO13" s="174"/>
      <c r="AHP13" s="174"/>
      <c r="AHQ13" s="174"/>
      <c r="AHR13" s="174"/>
      <c r="AHS13" s="174"/>
      <c r="AHT13" s="174"/>
      <c r="AHU13" s="175"/>
      <c r="AHV13" s="173" t="s">
        <v>33</v>
      </c>
      <c r="AHW13" s="174"/>
      <c r="AHX13" s="174"/>
      <c r="AHY13" s="174"/>
      <c r="AHZ13" s="174"/>
      <c r="AIA13" s="174"/>
      <c r="AIB13" s="174"/>
      <c r="AIC13" s="174"/>
      <c r="AID13" s="174"/>
      <c r="AIE13" s="174"/>
      <c r="AIF13" s="174"/>
      <c r="AIG13" s="174"/>
      <c r="AIH13" s="174"/>
      <c r="AII13" s="174"/>
      <c r="AIJ13" s="174"/>
      <c r="AIK13" s="174"/>
      <c r="AIL13" s="174"/>
      <c r="AIM13" s="174"/>
      <c r="AIN13" s="174"/>
      <c r="AIO13" s="174"/>
      <c r="AIP13" s="174"/>
      <c r="AIQ13" s="174"/>
      <c r="AIR13" s="174"/>
      <c r="AIS13" s="174"/>
      <c r="AIT13" s="174"/>
      <c r="AIU13" s="174"/>
      <c r="AIV13" s="174"/>
      <c r="AIW13" s="174"/>
      <c r="AIX13" s="174"/>
      <c r="AIY13" s="174"/>
      <c r="AIZ13" s="174"/>
      <c r="AJA13" s="174"/>
      <c r="AJB13" s="174"/>
      <c r="AJC13" s="174"/>
      <c r="AJD13" s="174"/>
      <c r="AJE13" s="174"/>
      <c r="AJF13" s="174"/>
      <c r="AJG13" s="174"/>
      <c r="AJH13" s="174"/>
      <c r="AJI13" s="174"/>
      <c r="AJJ13" s="174"/>
      <c r="AJK13" s="174"/>
      <c r="AJL13" s="174"/>
      <c r="AJM13" s="174"/>
      <c r="AJN13" s="174"/>
      <c r="AJO13" s="174"/>
      <c r="AJP13" s="174"/>
      <c r="AJQ13" s="174"/>
      <c r="AJR13" s="174"/>
      <c r="AJS13" s="174"/>
      <c r="AJT13" s="174"/>
      <c r="AJU13" s="174"/>
      <c r="AJV13" s="174"/>
      <c r="AJW13" s="174"/>
      <c r="AJX13" s="174"/>
      <c r="AJY13" s="174"/>
      <c r="AJZ13" s="174"/>
      <c r="AKA13" s="174"/>
      <c r="AKB13" s="174"/>
      <c r="AKC13" s="175"/>
      <c r="AKD13" s="173" t="s">
        <v>33</v>
      </c>
      <c r="AKE13" s="174"/>
      <c r="AKF13" s="174"/>
      <c r="AKG13" s="174"/>
      <c r="AKH13" s="174"/>
      <c r="AKI13" s="174"/>
      <c r="AKJ13" s="174"/>
      <c r="AKK13" s="174"/>
      <c r="AKL13" s="174"/>
      <c r="AKM13" s="174"/>
      <c r="AKN13" s="174"/>
      <c r="AKO13" s="174"/>
      <c r="AKP13" s="174"/>
      <c r="AKQ13" s="174"/>
      <c r="AKR13" s="174"/>
      <c r="AKS13" s="174"/>
      <c r="AKT13" s="174"/>
      <c r="AKU13" s="174"/>
      <c r="AKV13" s="174"/>
      <c r="AKW13" s="174"/>
      <c r="AKX13" s="174"/>
      <c r="AKY13" s="174"/>
      <c r="AKZ13" s="174"/>
      <c r="ALA13" s="174"/>
      <c r="ALB13" s="174"/>
      <c r="ALC13" s="174"/>
      <c r="ALD13" s="174"/>
      <c r="ALE13" s="174"/>
      <c r="ALF13" s="174"/>
      <c r="ALG13" s="174"/>
      <c r="ALH13" s="174"/>
      <c r="ALI13" s="174"/>
      <c r="ALJ13" s="174"/>
      <c r="ALK13" s="174"/>
      <c r="ALL13" s="174"/>
      <c r="ALM13" s="174"/>
      <c r="ALN13" s="174"/>
      <c r="ALO13" s="174"/>
      <c r="ALP13" s="174"/>
      <c r="ALQ13" s="174"/>
      <c r="ALR13" s="174"/>
      <c r="ALS13" s="174"/>
      <c r="ALT13" s="174"/>
      <c r="ALU13" s="174"/>
      <c r="ALV13" s="174"/>
      <c r="ALW13" s="174"/>
      <c r="ALX13" s="174"/>
      <c r="ALY13" s="174"/>
      <c r="ALZ13" s="174"/>
      <c r="AMA13" s="174"/>
      <c r="AMB13" s="174"/>
      <c r="AMC13" s="174"/>
      <c r="AMD13" s="174"/>
      <c r="AME13" s="174"/>
      <c r="AMF13" s="174"/>
      <c r="AMG13" s="174"/>
      <c r="AMH13" s="174"/>
      <c r="AMI13" s="174"/>
      <c r="AMJ13" s="174"/>
      <c r="AMK13" s="175"/>
      <c r="AML13" s="173" t="s">
        <v>33</v>
      </c>
      <c r="AMM13" s="174"/>
      <c r="AMN13" s="174"/>
      <c r="AMO13" s="174"/>
      <c r="AMP13" s="174"/>
      <c r="AMQ13" s="174"/>
      <c r="AMR13" s="174"/>
      <c r="AMS13" s="174"/>
      <c r="AMT13" s="174"/>
      <c r="AMU13" s="174"/>
      <c r="AMV13" s="174"/>
      <c r="AMW13" s="174"/>
      <c r="AMX13" s="174"/>
      <c r="AMY13" s="174"/>
      <c r="AMZ13" s="174"/>
      <c r="ANA13" s="174"/>
      <c r="ANB13" s="174"/>
      <c r="ANC13" s="174"/>
      <c r="AND13" s="174"/>
      <c r="ANE13" s="174"/>
      <c r="ANF13" s="174"/>
      <c r="ANG13" s="174"/>
      <c r="ANH13" s="174"/>
      <c r="ANI13" s="174"/>
      <c r="ANJ13" s="174"/>
      <c r="ANK13" s="174"/>
      <c r="ANL13" s="174"/>
      <c r="ANM13" s="174"/>
      <c r="ANN13" s="174"/>
      <c r="ANO13" s="174"/>
      <c r="ANP13" s="174"/>
      <c r="ANQ13" s="174"/>
      <c r="ANR13" s="174"/>
      <c r="ANS13" s="174"/>
      <c r="ANT13" s="174"/>
      <c r="ANU13" s="174"/>
      <c r="ANV13" s="174"/>
      <c r="ANW13" s="174"/>
      <c r="ANX13" s="174"/>
      <c r="ANY13" s="174"/>
      <c r="ANZ13" s="174"/>
      <c r="AOA13" s="174"/>
      <c r="AOB13" s="174"/>
      <c r="AOC13" s="174"/>
      <c r="AOD13" s="174"/>
      <c r="AOE13" s="174"/>
      <c r="AOF13" s="174"/>
      <c r="AOG13" s="174"/>
      <c r="AOH13" s="174"/>
      <c r="AOI13" s="174"/>
      <c r="AOJ13" s="174"/>
      <c r="AOK13" s="174"/>
      <c r="AOL13" s="174"/>
      <c r="AOM13" s="174"/>
      <c r="AON13" s="174"/>
      <c r="AOO13" s="174"/>
      <c r="AOP13" s="174"/>
      <c r="AOQ13" s="174"/>
      <c r="AOR13" s="174"/>
      <c r="AOS13" s="175"/>
      <c r="AOT13" s="173" t="s">
        <v>33</v>
      </c>
      <c r="AOU13" s="174"/>
      <c r="AOV13" s="174"/>
      <c r="AOW13" s="174"/>
      <c r="AOX13" s="174"/>
      <c r="AOY13" s="174"/>
      <c r="AOZ13" s="174"/>
      <c r="APA13" s="174"/>
      <c r="APB13" s="174"/>
      <c r="APC13" s="174"/>
      <c r="APD13" s="174"/>
      <c r="APE13" s="174"/>
      <c r="APF13" s="174"/>
      <c r="APG13" s="174"/>
      <c r="APH13" s="174"/>
      <c r="API13" s="174"/>
      <c r="APJ13" s="174"/>
      <c r="APK13" s="174"/>
      <c r="APL13" s="174"/>
      <c r="APM13" s="174"/>
      <c r="APN13" s="174"/>
      <c r="APO13" s="174"/>
      <c r="APP13" s="174"/>
      <c r="APQ13" s="174"/>
      <c r="APR13" s="174"/>
      <c r="APS13" s="174"/>
      <c r="APT13" s="174"/>
      <c r="APU13" s="174"/>
      <c r="APV13" s="174"/>
      <c r="APW13" s="174"/>
      <c r="APX13" s="174"/>
      <c r="APY13" s="174"/>
      <c r="APZ13" s="174"/>
      <c r="AQA13" s="174"/>
      <c r="AQB13" s="174"/>
      <c r="AQC13" s="174"/>
      <c r="AQD13" s="174"/>
      <c r="AQE13" s="174"/>
      <c r="AQF13" s="174"/>
      <c r="AQG13" s="174"/>
      <c r="AQH13" s="174"/>
      <c r="AQI13" s="174"/>
      <c r="AQJ13" s="174"/>
      <c r="AQK13" s="174"/>
      <c r="AQL13" s="174"/>
      <c r="AQM13" s="174"/>
      <c r="AQN13" s="174"/>
      <c r="AQO13" s="174"/>
      <c r="AQP13" s="174"/>
      <c r="AQQ13" s="174"/>
      <c r="AQR13" s="174"/>
      <c r="AQS13" s="174"/>
      <c r="AQT13" s="174"/>
      <c r="AQU13" s="174"/>
      <c r="AQV13" s="174"/>
      <c r="AQW13" s="174"/>
      <c r="AQX13" s="174"/>
      <c r="AQY13" s="174"/>
      <c r="AQZ13" s="174"/>
      <c r="ARA13" s="175"/>
      <c r="ARB13" s="173" t="s">
        <v>33</v>
      </c>
      <c r="ARC13" s="174"/>
      <c r="ARD13" s="174"/>
      <c r="ARE13" s="174"/>
      <c r="ARF13" s="174"/>
      <c r="ARG13" s="174"/>
      <c r="ARH13" s="174"/>
      <c r="ARI13" s="174"/>
      <c r="ARJ13" s="174"/>
      <c r="ARK13" s="174"/>
      <c r="ARL13" s="174"/>
      <c r="ARM13" s="174"/>
      <c r="ARN13" s="174"/>
      <c r="ARO13" s="174"/>
      <c r="ARP13" s="174"/>
      <c r="ARQ13" s="174"/>
      <c r="ARR13" s="174"/>
      <c r="ARS13" s="174"/>
      <c r="ART13" s="174"/>
      <c r="ARU13" s="174"/>
      <c r="ARV13" s="174"/>
      <c r="ARW13" s="174"/>
      <c r="ARX13" s="174"/>
      <c r="ARY13" s="174"/>
      <c r="ARZ13" s="174"/>
      <c r="ASA13" s="174"/>
      <c r="ASB13" s="174"/>
      <c r="ASC13" s="174"/>
      <c r="ASD13" s="174"/>
      <c r="ASE13" s="174"/>
      <c r="ASF13" s="174"/>
      <c r="ASG13" s="174"/>
      <c r="ASH13" s="174"/>
      <c r="ASI13" s="174"/>
      <c r="ASJ13" s="174"/>
      <c r="ASK13" s="174"/>
      <c r="ASL13" s="174"/>
      <c r="ASM13" s="174"/>
      <c r="ASN13" s="174"/>
      <c r="ASO13" s="174"/>
      <c r="ASP13" s="174"/>
      <c r="ASQ13" s="174"/>
      <c r="ASR13" s="174"/>
      <c r="ASS13" s="174"/>
      <c r="AST13" s="174"/>
      <c r="ASU13" s="174"/>
      <c r="ASV13" s="174"/>
      <c r="ASW13" s="174"/>
      <c r="ASX13" s="174"/>
      <c r="ASY13" s="174"/>
      <c r="ASZ13" s="174"/>
      <c r="ATA13" s="174"/>
      <c r="ATB13" s="174"/>
      <c r="ATC13" s="174"/>
      <c r="ATD13" s="174"/>
      <c r="ATE13" s="174"/>
      <c r="ATF13" s="174"/>
      <c r="ATG13" s="174"/>
      <c r="ATH13" s="174"/>
      <c r="ATI13" s="175"/>
      <c r="ATJ13" s="173" t="s">
        <v>33</v>
      </c>
      <c r="ATK13" s="174"/>
      <c r="ATL13" s="174"/>
      <c r="ATM13" s="174"/>
      <c r="ATN13" s="174"/>
      <c r="ATO13" s="174"/>
      <c r="ATP13" s="174"/>
      <c r="ATQ13" s="174"/>
      <c r="ATR13" s="174"/>
      <c r="ATS13" s="174"/>
      <c r="ATT13" s="174"/>
      <c r="ATU13" s="174"/>
      <c r="ATV13" s="174"/>
      <c r="ATW13" s="174"/>
      <c r="ATX13" s="174"/>
      <c r="ATY13" s="174"/>
      <c r="ATZ13" s="174"/>
      <c r="AUA13" s="174"/>
      <c r="AUB13" s="174"/>
      <c r="AUC13" s="174"/>
      <c r="AUD13" s="174"/>
      <c r="AUE13" s="174"/>
      <c r="AUF13" s="174"/>
      <c r="AUG13" s="174"/>
      <c r="AUH13" s="174"/>
      <c r="AUI13" s="174"/>
      <c r="AUJ13" s="174"/>
      <c r="AUK13" s="174"/>
      <c r="AUL13" s="174"/>
      <c r="AUM13" s="174"/>
      <c r="AUN13" s="174"/>
      <c r="AUO13" s="174"/>
      <c r="AUP13" s="174"/>
      <c r="AUQ13" s="174"/>
      <c r="AUR13" s="174"/>
      <c r="AUS13" s="174"/>
      <c r="AUT13" s="174"/>
      <c r="AUU13" s="174"/>
      <c r="AUV13" s="174"/>
      <c r="AUW13" s="174"/>
      <c r="AUX13" s="174"/>
      <c r="AUY13" s="174"/>
      <c r="AUZ13" s="174"/>
      <c r="AVA13" s="174"/>
      <c r="AVB13" s="174"/>
      <c r="AVC13" s="174"/>
      <c r="AVD13" s="174"/>
      <c r="AVE13" s="174"/>
      <c r="AVF13" s="174"/>
      <c r="AVG13" s="174"/>
      <c r="AVH13" s="174"/>
      <c r="AVI13" s="174"/>
      <c r="AVJ13" s="174"/>
      <c r="AVK13" s="174"/>
      <c r="AVL13" s="174"/>
      <c r="AVM13" s="174"/>
      <c r="AVN13" s="174"/>
      <c r="AVO13" s="174"/>
      <c r="AVP13" s="174"/>
      <c r="AVQ13" s="175"/>
      <c r="AVR13" s="173" t="s">
        <v>33</v>
      </c>
      <c r="AVS13" s="174"/>
      <c r="AVT13" s="174"/>
      <c r="AVU13" s="174"/>
      <c r="AVV13" s="174"/>
      <c r="AVW13" s="174"/>
      <c r="AVX13" s="174"/>
      <c r="AVY13" s="174"/>
      <c r="AVZ13" s="174"/>
      <c r="AWA13" s="174"/>
      <c r="AWB13" s="174"/>
      <c r="AWC13" s="174"/>
      <c r="AWD13" s="174"/>
      <c r="AWE13" s="174"/>
      <c r="AWF13" s="174"/>
      <c r="AWG13" s="174"/>
      <c r="AWH13" s="174"/>
      <c r="AWI13" s="174"/>
      <c r="AWJ13" s="174"/>
      <c r="AWK13" s="174"/>
      <c r="AWL13" s="174"/>
      <c r="AWM13" s="174"/>
      <c r="AWN13" s="174"/>
      <c r="AWO13" s="174"/>
      <c r="AWP13" s="174"/>
      <c r="AWQ13" s="174"/>
      <c r="AWR13" s="174"/>
      <c r="AWS13" s="174"/>
      <c r="AWT13" s="174"/>
      <c r="AWU13" s="174"/>
      <c r="AWV13" s="174"/>
      <c r="AWW13" s="174"/>
      <c r="AWX13" s="174"/>
      <c r="AWY13" s="174"/>
      <c r="AWZ13" s="174"/>
      <c r="AXA13" s="174"/>
      <c r="AXB13" s="174"/>
      <c r="AXC13" s="174"/>
      <c r="AXD13" s="174"/>
      <c r="AXE13" s="174"/>
      <c r="AXF13" s="174"/>
      <c r="AXG13" s="174"/>
      <c r="AXH13" s="174"/>
      <c r="AXI13" s="174"/>
      <c r="AXJ13" s="174"/>
      <c r="AXK13" s="174"/>
      <c r="AXL13" s="174"/>
      <c r="AXM13" s="174"/>
      <c r="AXN13" s="174"/>
      <c r="AXO13" s="174"/>
      <c r="AXP13" s="174"/>
      <c r="AXQ13" s="174"/>
      <c r="AXR13" s="174"/>
      <c r="AXS13" s="174"/>
      <c r="AXT13" s="174"/>
      <c r="AXU13" s="174"/>
      <c r="AXV13" s="174"/>
      <c r="AXW13" s="174"/>
      <c r="AXX13" s="174"/>
      <c r="AXY13" s="175"/>
      <c r="AXZ13" s="73"/>
      <c r="BAH13" s="2" t="s">
        <v>89</v>
      </c>
      <c r="BCP13" s="2" t="s">
        <v>88</v>
      </c>
      <c r="BEX13" s="2" t="s">
        <v>86</v>
      </c>
      <c r="BHF13" s="2" t="s">
        <v>84</v>
      </c>
    </row>
    <row r="14" spans="1:1566" ht="12.75" customHeight="1" thickBot="1" x14ac:dyDescent="0.35">
      <c r="B14" s="51"/>
      <c r="C14" s="183"/>
      <c r="D14" s="118"/>
      <c r="E14" s="181"/>
      <c r="F14" s="81"/>
      <c r="G14" s="82"/>
      <c r="H14" s="82"/>
      <c r="I14" s="82"/>
      <c r="J14" s="161" t="s">
        <v>17</v>
      </c>
      <c r="K14" s="161"/>
      <c r="L14" s="161"/>
      <c r="M14" s="161"/>
      <c r="N14" s="82"/>
      <c r="O14" s="82"/>
      <c r="P14" s="162" t="s">
        <v>18</v>
      </c>
      <c r="Q14" s="162"/>
      <c r="R14" s="162"/>
      <c r="S14" s="162"/>
      <c r="T14" s="102"/>
      <c r="U14" s="102"/>
      <c r="V14" s="161" t="s">
        <v>19</v>
      </c>
      <c r="W14" s="161"/>
      <c r="X14" s="161"/>
      <c r="Y14" s="161"/>
      <c r="Z14" s="82"/>
      <c r="AA14" s="82"/>
      <c r="AB14" s="162" t="s">
        <v>20</v>
      </c>
      <c r="AC14" s="162"/>
      <c r="AD14" s="162"/>
      <c r="AE14" s="162"/>
      <c r="AF14" s="102"/>
      <c r="AG14" s="102"/>
      <c r="AH14" s="161" t="s">
        <v>21</v>
      </c>
      <c r="AI14" s="161"/>
      <c r="AJ14" s="161"/>
      <c r="AK14" s="161"/>
      <c r="AL14" s="82"/>
      <c r="AM14" s="82"/>
      <c r="AN14" s="162" t="s">
        <v>22</v>
      </c>
      <c r="AO14" s="162"/>
      <c r="AP14" s="162"/>
      <c r="AQ14" s="162"/>
      <c r="AR14" s="102"/>
      <c r="AS14" s="102"/>
      <c r="AT14" s="161" t="s">
        <v>23</v>
      </c>
      <c r="AU14" s="161"/>
      <c r="AV14" s="161"/>
      <c r="AW14" s="161"/>
      <c r="AX14" s="82"/>
      <c r="AY14" s="82"/>
      <c r="AZ14" s="162" t="s">
        <v>24</v>
      </c>
      <c r="BA14" s="162"/>
      <c r="BB14" s="162"/>
      <c r="BC14" s="162"/>
      <c r="BD14" s="102"/>
      <c r="BE14" s="102"/>
      <c r="BF14" s="161" t="s">
        <v>25</v>
      </c>
      <c r="BG14" s="161"/>
      <c r="BH14" s="161"/>
      <c r="BI14" s="161"/>
      <c r="BJ14" s="82"/>
      <c r="BK14" s="82"/>
      <c r="BL14" s="82"/>
      <c r="BM14" s="83"/>
      <c r="BN14" s="81"/>
      <c r="BO14" s="82"/>
      <c r="BP14" s="82"/>
      <c r="BQ14" s="82"/>
      <c r="BR14" s="161" t="s">
        <v>17</v>
      </c>
      <c r="BS14" s="161"/>
      <c r="BT14" s="161"/>
      <c r="BU14" s="161"/>
      <c r="BV14" s="82"/>
      <c r="BW14" s="82"/>
      <c r="BX14" s="162" t="s">
        <v>18</v>
      </c>
      <c r="BY14" s="162"/>
      <c r="BZ14" s="162"/>
      <c r="CA14" s="162"/>
      <c r="CB14" s="102"/>
      <c r="CC14" s="102"/>
      <c r="CD14" s="161" t="s">
        <v>19</v>
      </c>
      <c r="CE14" s="161"/>
      <c r="CF14" s="161"/>
      <c r="CG14" s="161"/>
      <c r="CH14" s="82"/>
      <c r="CI14" s="82"/>
      <c r="CJ14" s="162" t="s">
        <v>20</v>
      </c>
      <c r="CK14" s="162"/>
      <c r="CL14" s="162"/>
      <c r="CM14" s="162"/>
      <c r="CN14" s="102"/>
      <c r="CO14" s="102"/>
      <c r="CP14" s="161" t="s">
        <v>21</v>
      </c>
      <c r="CQ14" s="161"/>
      <c r="CR14" s="161"/>
      <c r="CS14" s="161"/>
      <c r="CT14" s="82"/>
      <c r="CU14" s="82"/>
      <c r="CV14" s="162" t="s">
        <v>22</v>
      </c>
      <c r="CW14" s="162"/>
      <c r="CX14" s="162"/>
      <c r="CY14" s="162"/>
      <c r="CZ14" s="102"/>
      <c r="DA14" s="102"/>
      <c r="DB14" s="161" t="s">
        <v>23</v>
      </c>
      <c r="DC14" s="161"/>
      <c r="DD14" s="161"/>
      <c r="DE14" s="161"/>
      <c r="DF14" s="82"/>
      <c r="DG14" s="82"/>
      <c r="DH14" s="162" t="s">
        <v>24</v>
      </c>
      <c r="DI14" s="162"/>
      <c r="DJ14" s="162"/>
      <c r="DK14" s="162"/>
      <c r="DL14" s="102"/>
      <c r="DM14" s="102"/>
      <c r="DN14" s="161" t="s">
        <v>25</v>
      </c>
      <c r="DO14" s="161"/>
      <c r="DP14" s="161"/>
      <c r="DQ14" s="161"/>
      <c r="DR14" s="82"/>
      <c r="DS14" s="82"/>
      <c r="DT14" s="82"/>
      <c r="DU14" s="83"/>
      <c r="DV14" s="81"/>
      <c r="DW14" s="82"/>
      <c r="DX14" s="82"/>
      <c r="DY14" s="82"/>
      <c r="DZ14" s="161" t="s">
        <v>17</v>
      </c>
      <c r="EA14" s="161"/>
      <c r="EB14" s="161"/>
      <c r="EC14" s="161"/>
      <c r="ED14" s="82"/>
      <c r="EE14" s="82"/>
      <c r="EF14" s="162" t="s">
        <v>18</v>
      </c>
      <c r="EG14" s="162"/>
      <c r="EH14" s="162"/>
      <c r="EI14" s="162"/>
      <c r="EJ14" s="102"/>
      <c r="EK14" s="102"/>
      <c r="EL14" s="161" t="s">
        <v>19</v>
      </c>
      <c r="EM14" s="161"/>
      <c r="EN14" s="161"/>
      <c r="EO14" s="161"/>
      <c r="EP14" s="82"/>
      <c r="EQ14" s="82"/>
      <c r="ER14" s="162" t="s">
        <v>20</v>
      </c>
      <c r="ES14" s="162"/>
      <c r="ET14" s="162"/>
      <c r="EU14" s="162"/>
      <c r="EV14" s="102"/>
      <c r="EW14" s="102"/>
      <c r="EX14" s="161" t="s">
        <v>21</v>
      </c>
      <c r="EY14" s="161"/>
      <c r="EZ14" s="161"/>
      <c r="FA14" s="161"/>
      <c r="FB14" s="82"/>
      <c r="FC14" s="82"/>
      <c r="FD14" s="162" t="s">
        <v>22</v>
      </c>
      <c r="FE14" s="162"/>
      <c r="FF14" s="162"/>
      <c r="FG14" s="162"/>
      <c r="FH14" s="102"/>
      <c r="FI14" s="102"/>
      <c r="FJ14" s="161" t="s">
        <v>23</v>
      </c>
      <c r="FK14" s="161"/>
      <c r="FL14" s="161"/>
      <c r="FM14" s="161"/>
      <c r="FN14" s="82"/>
      <c r="FO14" s="82"/>
      <c r="FP14" s="162" t="s">
        <v>24</v>
      </c>
      <c r="FQ14" s="162"/>
      <c r="FR14" s="162"/>
      <c r="FS14" s="162"/>
      <c r="FT14" s="102"/>
      <c r="FU14" s="102"/>
      <c r="FV14" s="161" t="s">
        <v>25</v>
      </c>
      <c r="FW14" s="161"/>
      <c r="FX14" s="161"/>
      <c r="FY14" s="161"/>
      <c r="FZ14" s="82"/>
      <c r="GA14" s="82"/>
      <c r="GB14" s="82"/>
      <c r="GC14" s="83"/>
      <c r="GD14" s="81"/>
      <c r="GE14" s="82"/>
      <c r="GF14" s="82"/>
      <c r="GG14" s="82"/>
      <c r="GH14" s="161" t="s">
        <v>17</v>
      </c>
      <c r="GI14" s="161"/>
      <c r="GJ14" s="161"/>
      <c r="GK14" s="161"/>
      <c r="GL14" s="82"/>
      <c r="GM14" s="82"/>
      <c r="GN14" s="162" t="s">
        <v>18</v>
      </c>
      <c r="GO14" s="162"/>
      <c r="GP14" s="162"/>
      <c r="GQ14" s="162"/>
      <c r="GR14" s="102"/>
      <c r="GS14" s="102"/>
      <c r="GT14" s="161" t="s">
        <v>19</v>
      </c>
      <c r="GU14" s="161"/>
      <c r="GV14" s="161"/>
      <c r="GW14" s="161"/>
      <c r="GX14" s="82"/>
      <c r="GY14" s="82"/>
      <c r="GZ14" s="162" t="s">
        <v>20</v>
      </c>
      <c r="HA14" s="162"/>
      <c r="HB14" s="162"/>
      <c r="HC14" s="162"/>
      <c r="HD14" s="102"/>
      <c r="HE14" s="102"/>
      <c r="HF14" s="161" t="s">
        <v>21</v>
      </c>
      <c r="HG14" s="161"/>
      <c r="HH14" s="161"/>
      <c r="HI14" s="161"/>
      <c r="HJ14" s="82"/>
      <c r="HK14" s="82"/>
      <c r="HL14" s="162" t="s">
        <v>22</v>
      </c>
      <c r="HM14" s="162"/>
      <c r="HN14" s="162"/>
      <c r="HO14" s="162"/>
      <c r="HP14" s="102"/>
      <c r="HQ14" s="102"/>
      <c r="HR14" s="161" t="s">
        <v>23</v>
      </c>
      <c r="HS14" s="161"/>
      <c r="HT14" s="161"/>
      <c r="HU14" s="161"/>
      <c r="HV14" s="82"/>
      <c r="HW14" s="82"/>
      <c r="HX14" s="162" t="s">
        <v>24</v>
      </c>
      <c r="HY14" s="162"/>
      <c r="HZ14" s="162"/>
      <c r="IA14" s="162"/>
      <c r="IB14" s="102"/>
      <c r="IC14" s="102"/>
      <c r="ID14" s="161" t="s">
        <v>25</v>
      </c>
      <c r="IE14" s="161"/>
      <c r="IF14" s="161"/>
      <c r="IG14" s="161"/>
      <c r="IH14" s="82"/>
      <c r="II14" s="82"/>
      <c r="IJ14" s="82"/>
      <c r="IK14" s="83"/>
      <c r="IL14" s="81"/>
      <c r="IM14" s="82"/>
      <c r="IN14" s="82"/>
      <c r="IO14" s="82"/>
      <c r="IP14" s="161" t="s">
        <v>17</v>
      </c>
      <c r="IQ14" s="161"/>
      <c r="IR14" s="161"/>
      <c r="IS14" s="161"/>
      <c r="IT14" s="82"/>
      <c r="IU14" s="82"/>
      <c r="IV14" s="162" t="s">
        <v>18</v>
      </c>
      <c r="IW14" s="162"/>
      <c r="IX14" s="162"/>
      <c r="IY14" s="162"/>
      <c r="IZ14" s="102"/>
      <c r="JA14" s="102"/>
      <c r="JB14" s="161" t="s">
        <v>19</v>
      </c>
      <c r="JC14" s="161"/>
      <c r="JD14" s="161"/>
      <c r="JE14" s="161"/>
      <c r="JF14" s="82"/>
      <c r="JG14" s="82"/>
      <c r="JH14" s="162" t="s">
        <v>20</v>
      </c>
      <c r="JI14" s="162"/>
      <c r="JJ14" s="162"/>
      <c r="JK14" s="162"/>
      <c r="JL14" s="102"/>
      <c r="JM14" s="102"/>
      <c r="JN14" s="161" t="s">
        <v>21</v>
      </c>
      <c r="JO14" s="161"/>
      <c r="JP14" s="161"/>
      <c r="JQ14" s="161"/>
      <c r="JR14" s="82"/>
      <c r="JS14" s="82"/>
      <c r="JT14" s="162" t="s">
        <v>22</v>
      </c>
      <c r="JU14" s="162"/>
      <c r="JV14" s="162"/>
      <c r="JW14" s="162"/>
      <c r="JX14" s="102"/>
      <c r="JY14" s="102"/>
      <c r="JZ14" s="161" t="s">
        <v>23</v>
      </c>
      <c r="KA14" s="161"/>
      <c r="KB14" s="161"/>
      <c r="KC14" s="161"/>
      <c r="KD14" s="82"/>
      <c r="KE14" s="82"/>
      <c r="KF14" s="162" t="s">
        <v>24</v>
      </c>
      <c r="KG14" s="162"/>
      <c r="KH14" s="162"/>
      <c r="KI14" s="162"/>
      <c r="KJ14" s="102"/>
      <c r="KK14" s="102"/>
      <c r="KL14" s="161" t="s">
        <v>25</v>
      </c>
      <c r="KM14" s="161"/>
      <c r="KN14" s="161"/>
      <c r="KO14" s="161"/>
      <c r="KP14" s="82"/>
      <c r="KQ14" s="82"/>
      <c r="KR14" s="82"/>
      <c r="KS14" s="83"/>
      <c r="KT14" s="81"/>
      <c r="KU14" s="82"/>
      <c r="KV14" s="82"/>
      <c r="KW14" s="82"/>
      <c r="KX14" s="161" t="s">
        <v>17</v>
      </c>
      <c r="KY14" s="161"/>
      <c r="KZ14" s="161"/>
      <c r="LA14" s="161"/>
      <c r="LB14" s="82"/>
      <c r="LC14" s="82"/>
      <c r="LD14" s="162" t="s">
        <v>18</v>
      </c>
      <c r="LE14" s="162"/>
      <c r="LF14" s="162"/>
      <c r="LG14" s="162"/>
      <c r="LH14" s="102"/>
      <c r="LI14" s="102"/>
      <c r="LJ14" s="161" t="s">
        <v>19</v>
      </c>
      <c r="LK14" s="161"/>
      <c r="LL14" s="161"/>
      <c r="LM14" s="161"/>
      <c r="LN14" s="82"/>
      <c r="LO14" s="82"/>
      <c r="LP14" s="162" t="s">
        <v>20</v>
      </c>
      <c r="LQ14" s="162"/>
      <c r="LR14" s="162"/>
      <c r="LS14" s="162"/>
      <c r="LT14" s="102"/>
      <c r="LU14" s="102"/>
      <c r="LV14" s="161" t="s">
        <v>21</v>
      </c>
      <c r="LW14" s="161"/>
      <c r="LX14" s="161"/>
      <c r="LY14" s="161"/>
      <c r="LZ14" s="82"/>
      <c r="MA14" s="82"/>
      <c r="MB14" s="162" t="s">
        <v>22</v>
      </c>
      <c r="MC14" s="162"/>
      <c r="MD14" s="162"/>
      <c r="ME14" s="162"/>
      <c r="MF14" s="102"/>
      <c r="MG14" s="102"/>
      <c r="MH14" s="161" t="s">
        <v>23</v>
      </c>
      <c r="MI14" s="161"/>
      <c r="MJ14" s="161"/>
      <c r="MK14" s="161"/>
      <c r="ML14" s="82"/>
      <c r="MM14" s="82"/>
      <c r="MN14" s="162" t="s">
        <v>24</v>
      </c>
      <c r="MO14" s="162"/>
      <c r="MP14" s="162"/>
      <c r="MQ14" s="162"/>
      <c r="MR14" s="102"/>
      <c r="MS14" s="102"/>
      <c r="MT14" s="161" t="s">
        <v>25</v>
      </c>
      <c r="MU14" s="161"/>
      <c r="MV14" s="161"/>
      <c r="MW14" s="161"/>
      <c r="MX14" s="82"/>
      <c r="MY14" s="82"/>
      <c r="MZ14" s="82"/>
      <c r="NA14" s="83"/>
      <c r="NB14" s="81"/>
      <c r="NC14" s="82"/>
      <c r="ND14" s="82"/>
      <c r="NE14" s="82"/>
      <c r="NF14" s="161" t="s">
        <v>17</v>
      </c>
      <c r="NG14" s="161"/>
      <c r="NH14" s="161"/>
      <c r="NI14" s="161"/>
      <c r="NJ14" s="82"/>
      <c r="NK14" s="82"/>
      <c r="NL14" s="162" t="s">
        <v>18</v>
      </c>
      <c r="NM14" s="162"/>
      <c r="NN14" s="162"/>
      <c r="NO14" s="162"/>
      <c r="NP14" s="102"/>
      <c r="NQ14" s="102"/>
      <c r="NR14" s="161" t="s">
        <v>19</v>
      </c>
      <c r="NS14" s="161"/>
      <c r="NT14" s="161"/>
      <c r="NU14" s="161"/>
      <c r="NV14" s="82"/>
      <c r="NW14" s="82"/>
      <c r="NX14" s="162" t="s">
        <v>20</v>
      </c>
      <c r="NY14" s="162"/>
      <c r="NZ14" s="162"/>
      <c r="OA14" s="162"/>
      <c r="OB14" s="102"/>
      <c r="OC14" s="102"/>
      <c r="OD14" s="161" t="s">
        <v>21</v>
      </c>
      <c r="OE14" s="161"/>
      <c r="OF14" s="161"/>
      <c r="OG14" s="161"/>
      <c r="OH14" s="82"/>
      <c r="OI14" s="82"/>
      <c r="OJ14" s="162" t="s">
        <v>22</v>
      </c>
      <c r="OK14" s="162"/>
      <c r="OL14" s="162"/>
      <c r="OM14" s="162"/>
      <c r="ON14" s="102"/>
      <c r="OO14" s="102"/>
      <c r="OP14" s="161" t="s">
        <v>23</v>
      </c>
      <c r="OQ14" s="161"/>
      <c r="OR14" s="161"/>
      <c r="OS14" s="161"/>
      <c r="OT14" s="82"/>
      <c r="OU14" s="82"/>
      <c r="OV14" s="162" t="s">
        <v>24</v>
      </c>
      <c r="OW14" s="162"/>
      <c r="OX14" s="162"/>
      <c r="OY14" s="162"/>
      <c r="OZ14" s="102"/>
      <c r="PA14" s="102"/>
      <c r="PB14" s="161" t="s">
        <v>25</v>
      </c>
      <c r="PC14" s="161"/>
      <c r="PD14" s="161"/>
      <c r="PE14" s="161"/>
      <c r="PF14" s="82"/>
      <c r="PG14" s="82"/>
      <c r="PH14" s="82"/>
      <c r="PI14" s="83"/>
      <c r="PJ14" s="81"/>
      <c r="PK14" s="82"/>
      <c r="PL14" s="82"/>
      <c r="PM14" s="82"/>
      <c r="PN14" s="161" t="s">
        <v>17</v>
      </c>
      <c r="PO14" s="161"/>
      <c r="PP14" s="161"/>
      <c r="PQ14" s="161"/>
      <c r="PR14" s="82"/>
      <c r="PS14" s="82"/>
      <c r="PT14" s="162" t="s">
        <v>18</v>
      </c>
      <c r="PU14" s="162"/>
      <c r="PV14" s="162"/>
      <c r="PW14" s="162"/>
      <c r="PX14" s="102"/>
      <c r="PY14" s="102"/>
      <c r="PZ14" s="161" t="s">
        <v>19</v>
      </c>
      <c r="QA14" s="161"/>
      <c r="QB14" s="161"/>
      <c r="QC14" s="161"/>
      <c r="QD14" s="82"/>
      <c r="QE14" s="82"/>
      <c r="QF14" s="162" t="s">
        <v>20</v>
      </c>
      <c r="QG14" s="162"/>
      <c r="QH14" s="162"/>
      <c r="QI14" s="162"/>
      <c r="QJ14" s="102"/>
      <c r="QK14" s="102"/>
      <c r="QL14" s="161" t="s">
        <v>21</v>
      </c>
      <c r="QM14" s="161"/>
      <c r="QN14" s="161"/>
      <c r="QO14" s="161"/>
      <c r="QP14" s="82"/>
      <c r="QQ14" s="82"/>
      <c r="QR14" s="162" t="s">
        <v>22</v>
      </c>
      <c r="QS14" s="162"/>
      <c r="QT14" s="162"/>
      <c r="QU14" s="162"/>
      <c r="QV14" s="102"/>
      <c r="QW14" s="102"/>
      <c r="QX14" s="161" t="s">
        <v>23</v>
      </c>
      <c r="QY14" s="161"/>
      <c r="QZ14" s="161"/>
      <c r="RA14" s="161"/>
      <c r="RB14" s="82"/>
      <c r="RC14" s="82"/>
      <c r="RD14" s="162" t="s">
        <v>24</v>
      </c>
      <c r="RE14" s="162"/>
      <c r="RF14" s="162"/>
      <c r="RG14" s="162"/>
      <c r="RH14" s="102"/>
      <c r="RI14" s="102"/>
      <c r="RJ14" s="161" t="s">
        <v>25</v>
      </c>
      <c r="RK14" s="161"/>
      <c r="RL14" s="161"/>
      <c r="RM14" s="161"/>
      <c r="RN14" s="82"/>
      <c r="RO14" s="82"/>
      <c r="RP14" s="82"/>
      <c r="RQ14" s="83"/>
      <c r="RR14" s="81"/>
      <c r="RS14" s="82"/>
      <c r="RT14" s="82"/>
      <c r="RU14" s="82"/>
      <c r="RV14" s="161" t="s">
        <v>17</v>
      </c>
      <c r="RW14" s="161"/>
      <c r="RX14" s="161"/>
      <c r="RY14" s="161"/>
      <c r="RZ14" s="82"/>
      <c r="SA14" s="82"/>
      <c r="SB14" s="162" t="s">
        <v>18</v>
      </c>
      <c r="SC14" s="162"/>
      <c r="SD14" s="162"/>
      <c r="SE14" s="162"/>
      <c r="SF14" s="102"/>
      <c r="SG14" s="102"/>
      <c r="SH14" s="161" t="s">
        <v>19</v>
      </c>
      <c r="SI14" s="161"/>
      <c r="SJ14" s="161"/>
      <c r="SK14" s="161"/>
      <c r="SL14" s="82"/>
      <c r="SM14" s="82"/>
      <c r="SN14" s="162" t="s">
        <v>20</v>
      </c>
      <c r="SO14" s="162"/>
      <c r="SP14" s="162"/>
      <c r="SQ14" s="162"/>
      <c r="SR14" s="102"/>
      <c r="SS14" s="102"/>
      <c r="ST14" s="161" t="s">
        <v>21</v>
      </c>
      <c r="SU14" s="161"/>
      <c r="SV14" s="161"/>
      <c r="SW14" s="161"/>
      <c r="SX14" s="82"/>
      <c r="SY14" s="82"/>
      <c r="SZ14" s="162" t="s">
        <v>22</v>
      </c>
      <c r="TA14" s="162"/>
      <c r="TB14" s="162"/>
      <c r="TC14" s="162"/>
      <c r="TD14" s="102"/>
      <c r="TE14" s="102"/>
      <c r="TF14" s="161" t="s">
        <v>23</v>
      </c>
      <c r="TG14" s="161"/>
      <c r="TH14" s="161"/>
      <c r="TI14" s="161"/>
      <c r="TJ14" s="82"/>
      <c r="TK14" s="82"/>
      <c r="TL14" s="162" t="s">
        <v>24</v>
      </c>
      <c r="TM14" s="162"/>
      <c r="TN14" s="162"/>
      <c r="TO14" s="162"/>
      <c r="TP14" s="102"/>
      <c r="TQ14" s="102"/>
      <c r="TR14" s="161" t="s">
        <v>25</v>
      </c>
      <c r="TS14" s="161"/>
      <c r="TT14" s="161"/>
      <c r="TU14" s="161"/>
      <c r="TV14" s="82"/>
      <c r="TW14" s="82"/>
      <c r="TX14" s="82"/>
      <c r="TY14" s="83"/>
      <c r="TZ14" s="81"/>
      <c r="UA14" s="82"/>
      <c r="UB14" s="82"/>
      <c r="UC14" s="82"/>
      <c r="UD14" s="161" t="s">
        <v>17</v>
      </c>
      <c r="UE14" s="161"/>
      <c r="UF14" s="161"/>
      <c r="UG14" s="161"/>
      <c r="UH14" s="82"/>
      <c r="UI14" s="82"/>
      <c r="UJ14" s="162" t="s">
        <v>18</v>
      </c>
      <c r="UK14" s="162"/>
      <c r="UL14" s="162"/>
      <c r="UM14" s="162"/>
      <c r="UN14" s="102"/>
      <c r="UO14" s="102"/>
      <c r="UP14" s="161" t="s">
        <v>19</v>
      </c>
      <c r="UQ14" s="161"/>
      <c r="UR14" s="161"/>
      <c r="US14" s="161"/>
      <c r="UT14" s="82"/>
      <c r="UU14" s="82"/>
      <c r="UV14" s="162" t="s">
        <v>20</v>
      </c>
      <c r="UW14" s="162"/>
      <c r="UX14" s="162"/>
      <c r="UY14" s="162"/>
      <c r="UZ14" s="102"/>
      <c r="VA14" s="102"/>
      <c r="VB14" s="161" t="s">
        <v>21</v>
      </c>
      <c r="VC14" s="161"/>
      <c r="VD14" s="161"/>
      <c r="VE14" s="161"/>
      <c r="VF14" s="82"/>
      <c r="VG14" s="82"/>
      <c r="VH14" s="162" t="s">
        <v>22</v>
      </c>
      <c r="VI14" s="162"/>
      <c r="VJ14" s="162"/>
      <c r="VK14" s="162"/>
      <c r="VL14" s="102"/>
      <c r="VM14" s="102"/>
      <c r="VN14" s="161" t="s">
        <v>23</v>
      </c>
      <c r="VO14" s="161"/>
      <c r="VP14" s="161"/>
      <c r="VQ14" s="161"/>
      <c r="VR14" s="82"/>
      <c r="VS14" s="82"/>
      <c r="VT14" s="162" t="s">
        <v>24</v>
      </c>
      <c r="VU14" s="162"/>
      <c r="VV14" s="162"/>
      <c r="VW14" s="162"/>
      <c r="VX14" s="102"/>
      <c r="VY14" s="102"/>
      <c r="VZ14" s="161" t="s">
        <v>25</v>
      </c>
      <c r="WA14" s="161"/>
      <c r="WB14" s="161"/>
      <c r="WC14" s="161"/>
      <c r="WD14" s="82"/>
      <c r="WE14" s="82"/>
      <c r="WF14" s="82"/>
      <c r="WG14" s="83"/>
      <c r="WH14" s="81"/>
      <c r="WI14" s="82"/>
      <c r="WJ14" s="82"/>
      <c r="WK14" s="82"/>
      <c r="WL14" s="161" t="s">
        <v>17</v>
      </c>
      <c r="WM14" s="161"/>
      <c r="WN14" s="161"/>
      <c r="WO14" s="161"/>
      <c r="WP14" s="82"/>
      <c r="WQ14" s="82"/>
      <c r="WR14" s="162" t="s">
        <v>18</v>
      </c>
      <c r="WS14" s="162"/>
      <c r="WT14" s="162"/>
      <c r="WU14" s="162"/>
      <c r="WV14" s="102"/>
      <c r="WW14" s="102"/>
      <c r="WX14" s="161" t="s">
        <v>19</v>
      </c>
      <c r="WY14" s="161"/>
      <c r="WZ14" s="161"/>
      <c r="XA14" s="161"/>
      <c r="XB14" s="82"/>
      <c r="XC14" s="82"/>
      <c r="XD14" s="162" t="s">
        <v>20</v>
      </c>
      <c r="XE14" s="162"/>
      <c r="XF14" s="162"/>
      <c r="XG14" s="162"/>
      <c r="XH14" s="102"/>
      <c r="XI14" s="102"/>
      <c r="XJ14" s="161" t="s">
        <v>21</v>
      </c>
      <c r="XK14" s="161"/>
      <c r="XL14" s="161"/>
      <c r="XM14" s="161"/>
      <c r="XN14" s="82"/>
      <c r="XO14" s="82"/>
      <c r="XP14" s="162" t="s">
        <v>22</v>
      </c>
      <c r="XQ14" s="162"/>
      <c r="XR14" s="162"/>
      <c r="XS14" s="162"/>
      <c r="XT14" s="102"/>
      <c r="XU14" s="102"/>
      <c r="XV14" s="161" t="s">
        <v>23</v>
      </c>
      <c r="XW14" s="161"/>
      <c r="XX14" s="161"/>
      <c r="XY14" s="161"/>
      <c r="XZ14" s="82"/>
      <c r="YA14" s="82"/>
      <c r="YB14" s="162" t="s">
        <v>24</v>
      </c>
      <c r="YC14" s="162"/>
      <c r="YD14" s="162"/>
      <c r="YE14" s="162"/>
      <c r="YF14" s="102"/>
      <c r="YG14" s="102"/>
      <c r="YH14" s="161" t="s">
        <v>25</v>
      </c>
      <c r="YI14" s="161"/>
      <c r="YJ14" s="161"/>
      <c r="YK14" s="161"/>
      <c r="YL14" s="82"/>
      <c r="YM14" s="82"/>
      <c r="YN14" s="82"/>
      <c r="YO14" s="83"/>
      <c r="YP14" s="81"/>
      <c r="YQ14" s="82"/>
      <c r="YR14" s="82"/>
      <c r="YS14" s="82"/>
      <c r="YT14" s="161" t="s">
        <v>17</v>
      </c>
      <c r="YU14" s="161"/>
      <c r="YV14" s="161"/>
      <c r="YW14" s="161"/>
      <c r="YX14" s="82"/>
      <c r="YY14" s="82"/>
      <c r="YZ14" s="162" t="s">
        <v>18</v>
      </c>
      <c r="ZA14" s="162"/>
      <c r="ZB14" s="162"/>
      <c r="ZC14" s="162"/>
      <c r="ZD14" s="102"/>
      <c r="ZE14" s="102"/>
      <c r="ZF14" s="161" t="s">
        <v>19</v>
      </c>
      <c r="ZG14" s="161"/>
      <c r="ZH14" s="161"/>
      <c r="ZI14" s="161"/>
      <c r="ZJ14" s="82"/>
      <c r="ZK14" s="82"/>
      <c r="ZL14" s="162" t="s">
        <v>20</v>
      </c>
      <c r="ZM14" s="162"/>
      <c r="ZN14" s="162"/>
      <c r="ZO14" s="162"/>
      <c r="ZP14" s="102"/>
      <c r="ZQ14" s="102"/>
      <c r="ZR14" s="161" t="s">
        <v>21</v>
      </c>
      <c r="ZS14" s="161"/>
      <c r="ZT14" s="161"/>
      <c r="ZU14" s="161"/>
      <c r="ZV14" s="82"/>
      <c r="ZW14" s="82"/>
      <c r="ZX14" s="162" t="s">
        <v>22</v>
      </c>
      <c r="ZY14" s="162"/>
      <c r="ZZ14" s="162"/>
      <c r="AAA14" s="162"/>
      <c r="AAB14" s="102"/>
      <c r="AAC14" s="102"/>
      <c r="AAD14" s="161" t="s">
        <v>23</v>
      </c>
      <c r="AAE14" s="161"/>
      <c r="AAF14" s="161"/>
      <c r="AAG14" s="161"/>
      <c r="AAH14" s="82"/>
      <c r="AAI14" s="82"/>
      <c r="AAJ14" s="162" t="s">
        <v>24</v>
      </c>
      <c r="AAK14" s="162"/>
      <c r="AAL14" s="162"/>
      <c r="AAM14" s="162"/>
      <c r="AAN14" s="102"/>
      <c r="AAO14" s="102"/>
      <c r="AAP14" s="161" t="s">
        <v>25</v>
      </c>
      <c r="AAQ14" s="161"/>
      <c r="AAR14" s="161"/>
      <c r="AAS14" s="161"/>
      <c r="AAT14" s="82"/>
      <c r="AAU14" s="82"/>
      <c r="AAV14" s="82"/>
      <c r="AAW14" s="83"/>
      <c r="AAX14" s="81"/>
      <c r="AAY14" s="82"/>
      <c r="AAZ14" s="82"/>
      <c r="ABA14" s="82"/>
      <c r="ABB14" s="161" t="s">
        <v>17</v>
      </c>
      <c r="ABC14" s="161"/>
      <c r="ABD14" s="161"/>
      <c r="ABE14" s="161"/>
      <c r="ABF14" s="82"/>
      <c r="ABG14" s="82"/>
      <c r="ABH14" s="162" t="s">
        <v>18</v>
      </c>
      <c r="ABI14" s="162"/>
      <c r="ABJ14" s="162"/>
      <c r="ABK14" s="162"/>
      <c r="ABL14" s="102"/>
      <c r="ABM14" s="102"/>
      <c r="ABN14" s="161" t="s">
        <v>19</v>
      </c>
      <c r="ABO14" s="161"/>
      <c r="ABP14" s="161"/>
      <c r="ABQ14" s="161"/>
      <c r="ABR14" s="82"/>
      <c r="ABS14" s="82"/>
      <c r="ABT14" s="162" t="s">
        <v>20</v>
      </c>
      <c r="ABU14" s="162"/>
      <c r="ABV14" s="162"/>
      <c r="ABW14" s="162"/>
      <c r="ABX14" s="102"/>
      <c r="ABY14" s="102"/>
      <c r="ABZ14" s="161" t="s">
        <v>21</v>
      </c>
      <c r="ACA14" s="161"/>
      <c r="ACB14" s="161"/>
      <c r="ACC14" s="161"/>
      <c r="ACD14" s="82"/>
      <c r="ACE14" s="82"/>
      <c r="ACF14" s="162" t="s">
        <v>22</v>
      </c>
      <c r="ACG14" s="162"/>
      <c r="ACH14" s="162"/>
      <c r="ACI14" s="162"/>
      <c r="ACJ14" s="102"/>
      <c r="ACK14" s="102"/>
      <c r="ACL14" s="161" t="s">
        <v>23</v>
      </c>
      <c r="ACM14" s="161"/>
      <c r="ACN14" s="161"/>
      <c r="ACO14" s="161"/>
      <c r="ACP14" s="82"/>
      <c r="ACQ14" s="82"/>
      <c r="ACR14" s="162" t="s">
        <v>24</v>
      </c>
      <c r="ACS14" s="162"/>
      <c r="ACT14" s="162"/>
      <c r="ACU14" s="162"/>
      <c r="ACV14" s="102"/>
      <c r="ACW14" s="102"/>
      <c r="ACX14" s="161" t="s">
        <v>25</v>
      </c>
      <c r="ACY14" s="161"/>
      <c r="ACZ14" s="161"/>
      <c r="ADA14" s="161"/>
      <c r="ADB14" s="82"/>
      <c r="ADC14" s="82"/>
      <c r="ADD14" s="82"/>
      <c r="ADE14" s="83"/>
      <c r="ADF14" s="81"/>
      <c r="ADG14" s="82"/>
      <c r="ADH14" s="82"/>
      <c r="ADI14" s="82"/>
      <c r="ADJ14" s="161" t="s">
        <v>17</v>
      </c>
      <c r="ADK14" s="161"/>
      <c r="ADL14" s="161"/>
      <c r="ADM14" s="161"/>
      <c r="ADN14" s="82"/>
      <c r="ADO14" s="82"/>
      <c r="ADP14" s="162" t="s">
        <v>18</v>
      </c>
      <c r="ADQ14" s="162"/>
      <c r="ADR14" s="162"/>
      <c r="ADS14" s="162"/>
      <c r="ADT14" s="102"/>
      <c r="ADU14" s="102"/>
      <c r="ADV14" s="161" t="s">
        <v>19</v>
      </c>
      <c r="ADW14" s="161"/>
      <c r="ADX14" s="161"/>
      <c r="ADY14" s="161"/>
      <c r="ADZ14" s="82"/>
      <c r="AEA14" s="82"/>
      <c r="AEB14" s="162" t="s">
        <v>20</v>
      </c>
      <c r="AEC14" s="162"/>
      <c r="AED14" s="162"/>
      <c r="AEE14" s="162"/>
      <c r="AEF14" s="102"/>
      <c r="AEG14" s="102"/>
      <c r="AEH14" s="161" t="s">
        <v>21</v>
      </c>
      <c r="AEI14" s="161"/>
      <c r="AEJ14" s="161"/>
      <c r="AEK14" s="161"/>
      <c r="AEL14" s="82"/>
      <c r="AEM14" s="82"/>
      <c r="AEN14" s="162" t="s">
        <v>22</v>
      </c>
      <c r="AEO14" s="162"/>
      <c r="AEP14" s="162"/>
      <c r="AEQ14" s="162"/>
      <c r="AER14" s="102"/>
      <c r="AES14" s="102"/>
      <c r="AET14" s="161" t="s">
        <v>23</v>
      </c>
      <c r="AEU14" s="161"/>
      <c r="AEV14" s="161"/>
      <c r="AEW14" s="161"/>
      <c r="AEX14" s="82"/>
      <c r="AEY14" s="82"/>
      <c r="AEZ14" s="162" t="s">
        <v>24</v>
      </c>
      <c r="AFA14" s="162"/>
      <c r="AFB14" s="162"/>
      <c r="AFC14" s="162"/>
      <c r="AFD14" s="102"/>
      <c r="AFE14" s="102"/>
      <c r="AFF14" s="161" t="s">
        <v>25</v>
      </c>
      <c r="AFG14" s="161"/>
      <c r="AFH14" s="161"/>
      <c r="AFI14" s="161"/>
      <c r="AFJ14" s="82"/>
      <c r="AFK14" s="82"/>
      <c r="AFL14" s="82"/>
      <c r="AFM14" s="83"/>
      <c r="AFN14" s="81"/>
      <c r="AFO14" s="82"/>
      <c r="AFP14" s="82"/>
      <c r="AFQ14" s="82"/>
      <c r="AFR14" s="161" t="s">
        <v>17</v>
      </c>
      <c r="AFS14" s="161"/>
      <c r="AFT14" s="161"/>
      <c r="AFU14" s="161"/>
      <c r="AFV14" s="82"/>
      <c r="AFW14" s="82"/>
      <c r="AFX14" s="162" t="s">
        <v>18</v>
      </c>
      <c r="AFY14" s="162"/>
      <c r="AFZ14" s="162"/>
      <c r="AGA14" s="162"/>
      <c r="AGB14" s="102"/>
      <c r="AGC14" s="102"/>
      <c r="AGD14" s="161" t="s">
        <v>19</v>
      </c>
      <c r="AGE14" s="161"/>
      <c r="AGF14" s="161"/>
      <c r="AGG14" s="161"/>
      <c r="AGH14" s="82"/>
      <c r="AGI14" s="82"/>
      <c r="AGJ14" s="162" t="s">
        <v>20</v>
      </c>
      <c r="AGK14" s="162"/>
      <c r="AGL14" s="162"/>
      <c r="AGM14" s="162"/>
      <c r="AGN14" s="102"/>
      <c r="AGO14" s="102"/>
      <c r="AGP14" s="161" t="s">
        <v>21</v>
      </c>
      <c r="AGQ14" s="161"/>
      <c r="AGR14" s="161"/>
      <c r="AGS14" s="161"/>
      <c r="AGT14" s="82"/>
      <c r="AGU14" s="82"/>
      <c r="AGV14" s="162" t="s">
        <v>22</v>
      </c>
      <c r="AGW14" s="162"/>
      <c r="AGX14" s="162"/>
      <c r="AGY14" s="162"/>
      <c r="AGZ14" s="102"/>
      <c r="AHA14" s="102"/>
      <c r="AHB14" s="161" t="s">
        <v>23</v>
      </c>
      <c r="AHC14" s="161"/>
      <c r="AHD14" s="161"/>
      <c r="AHE14" s="161"/>
      <c r="AHF14" s="82"/>
      <c r="AHG14" s="82"/>
      <c r="AHH14" s="162" t="s">
        <v>24</v>
      </c>
      <c r="AHI14" s="162"/>
      <c r="AHJ14" s="162"/>
      <c r="AHK14" s="162"/>
      <c r="AHL14" s="102"/>
      <c r="AHM14" s="102"/>
      <c r="AHN14" s="161" t="s">
        <v>25</v>
      </c>
      <c r="AHO14" s="161"/>
      <c r="AHP14" s="161"/>
      <c r="AHQ14" s="161"/>
      <c r="AHR14" s="82"/>
      <c r="AHS14" s="82"/>
      <c r="AHT14" s="82"/>
      <c r="AHU14" s="83"/>
      <c r="AHV14" s="81"/>
      <c r="AHW14" s="82"/>
      <c r="AHX14" s="82"/>
      <c r="AHY14" s="82"/>
      <c r="AHZ14" s="161" t="s">
        <v>17</v>
      </c>
      <c r="AIA14" s="161"/>
      <c r="AIB14" s="161"/>
      <c r="AIC14" s="161"/>
      <c r="AID14" s="82"/>
      <c r="AIE14" s="82"/>
      <c r="AIF14" s="162" t="s">
        <v>18</v>
      </c>
      <c r="AIG14" s="162"/>
      <c r="AIH14" s="162"/>
      <c r="AII14" s="162"/>
      <c r="AIJ14" s="102"/>
      <c r="AIK14" s="102"/>
      <c r="AIL14" s="161" t="s">
        <v>19</v>
      </c>
      <c r="AIM14" s="161"/>
      <c r="AIN14" s="161"/>
      <c r="AIO14" s="161"/>
      <c r="AIP14" s="82"/>
      <c r="AIQ14" s="82"/>
      <c r="AIR14" s="162" t="s">
        <v>20</v>
      </c>
      <c r="AIS14" s="162"/>
      <c r="AIT14" s="162"/>
      <c r="AIU14" s="162"/>
      <c r="AIV14" s="102"/>
      <c r="AIW14" s="102"/>
      <c r="AIX14" s="161" t="s">
        <v>21</v>
      </c>
      <c r="AIY14" s="161"/>
      <c r="AIZ14" s="161"/>
      <c r="AJA14" s="161"/>
      <c r="AJB14" s="82"/>
      <c r="AJC14" s="82"/>
      <c r="AJD14" s="162" t="s">
        <v>22</v>
      </c>
      <c r="AJE14" s="162"/>
      <c r="AJF14" s="162"/>
      <c r="AJG14" s="162"/>
      <c r="AJH14" s="102"/>
      <c r="AJI14" s="102"/>
      <c r="AJJ14" s="161" t="s">
        <v>23</v>
      </c>
      <c r="AJK14" s="161"/>
      <c r="AJL14" s="161"/>
      <c r="AJM14" s="161"/>
      <c r="AJN14" s="82"/>
      <c r="AJO14" s="82"/>
      <c r="AJP14" s="162" t="s">
        <v>24</v>
      </c>
      <c r="AJQ14" s="162"/>
      <c r="AJR14" s="162"/>
      <c r="AJS14" s="162"/>
      <c r="AJT14" s="102"/>
      <c r="AJU14" s="102"/>
      <c r="AJV14" s="161" t="s">
        <v>25</v>
      </c>
      <c r="AJW14" s="161"/>
      <c r="AJX14" s="161"/>
      <c r="AJY14" s="161"/>
      <c r="AJZ14" s="82"/>
      <c r="AKA14" s="82"/>
      <c r="AKB14" s="82"/>
      <c r="AKC14" s="83"/>
      <c r="AKD14" s="81"/>
      <c r="AKE14" s="82"/>
      <c r="AKF14" s="82"/>
      <c r="AKG14" s="82"/>
      <c r="AKH14" s="161" t="s">
        <v>17</v>
      </c>
      <c r="AKI14" s="161"/>
      <c r="AKJ14" s="161"/>
      <c r="AKK14" s="161"/>
      <c r="AKL14" s="82"/>
      <c r="AKM14" s="82"/>
      <c r="AKN14" s="162" t="s">
        <v>18</v>
      </c>
      <c r="AKO14" s="162"/>
      <c r="AKP14" s="162"/>
      <c r="AKQ14" s="162"/>
      <c r="AKR14" s="102"/>
      <c r="AKS14" s="102"/>
      <c r="AKT14" s="161" t="s">
        <v>19</v>
      </c>
      <c r="AKU14" s="161"/>
      <c r="AKV14" s="161"/>
      <c r="AKW14" s="161"/>
      <c r="AKX14" s="82"/>
      <c r="AKY14" s="82"/>
      <c r="AKZ14" s="162" t="s">
        <v>20</v>
      </c>
      <c r="ALA14" s="162"/>
      <c r="ALB14" s="162"/>
      <c r="ALC14" s="162"/>
      <c r="ALD14" s="102"/>
      <c r="ALE14" s="102"/>
      <c r="ALF14" s="161" t="s">
        <v>21</v>
      </c>
      <c r="ALG14" s="161"/>
      <c r="ALH14" s="161"/>
      <c r="ALI14" s="161"/>
      <c r="ALJ14" s="82"/>
      <c r="ALK14" s="82"/>
      <c r="ALL14" s="162" t="s">
        <v>22</v>
      </c>
      <c r="ALM14" s="162"/>
      <c r="ALN14" s="162"/>
      <c r="ALO14" s="162"/>
      <c r="ALP14" s="102"/>
      <c r="ALQ14" s="102"/>
      <c r="ALR14" s="161" t="s">
        <v>23</v>
      </c>
      <c r="ALS14" s="161"/>
      <c r="ALT14" s="161"/>
      <c r="ALU14" s="161"/>
      <c r="ALV14" s="82"/>
      <c r="ALW14" s="82"/>
      <c r="ALX14" s="162" t="s">
        <v>24</v>
      </c>
      <c r="ALY14" s="162"/>
      <c r="ALZ14" s="162"/>
      <c r="AMA14" s="162"/>
      <c r="AMB14" s="102"/>
      <c r="AMC14" s="102"/>
      <c r="AMD14" s="161" t="s">
        <v>25</v>
      </c>
      <c r="AME14" s="161"/>
      <c r="AMF14" s="161"/>
      <c r="AMG14" s="161"/>
      <c r="AMH14" s="82"/>
      <c r="AMI14" s="82"/>
      <c r="AMJ14" s="82"/>
      <c r="AMK14" s="83"/>
      <c r="AML14" s="81"/>
      <c r="AMM14" s="82"/>
      <c r="AMN14" s="82"/>
      <c r="AMO14" s="82"/>
      <c r="AMP14" s="161" t="s">
        <v>17</v>
      </c>
      <c r="AMQ14" s="161"/>
      <c r="AMR14" s="161"/>
      <c r="AMS14" s="161"/>
      <c r="AMT14" s="82"/>
      <c r="AMU14" s="82"/>
      <c r="AMV14" s="162" t="s">
        <v>18</v>
      </c>
      <c r="AMW14" s="162"/>
      <c r="AMX14" s="162"/>
      <c r="AMY14" s="162"/>
      <c r="AMZ14" s="102"/>
      <c r="ANA14" s="102"/>
      <c r="ANB14" s="161" t="s">
        <v>19</v>
      </c>
      <c r="ANC14" s="161"/>
      <c r="AND14" s="161"/>
      <c r="ANE14" s="161"/>
      <c r="ANF14" s="82"/>
      <c r="ANG14" s="82"/>
      <c r="ANH14" s="162" t="s">
        <v>20</v>
      </c>
      <c r="ANI14" s="162"/>
      <c r="ANJ14" s="162"/>
      <c r="ANK14" s="162"/>
      <c r="ANL14" s="102"/>
      <c r="ANM14" s="102"/>
      <c r="ANN14" s="161" t="s">
        <v>21</v>
      </c>
      <c r="ANO14" s="161"/>
      <c r="ANP14" s="161"/>
      <c r="ANQ14" s="161"/>
      <c r="ANR14" s="82"/>
      <c r="ANS14" s="82"/>
      <c r="ANT14" s="162" t="s">
        <v>22</v>
      </c>
      <c r="ANU14" s="162"/>
      <c r="ANV14" s="162"/>
      <c r="ANW14" s="162"/>
      <c r="ANX14" s="102"/>
      <c r="ANY14" s="102"/>
      <c r="ANZ14" s="161" t="s">
        <v>23</v>
      </c>
      <c r="AOA14" s="161"/>
      <c r="AOB14" s="161"/>
      <c r="AOC14" s="161"/>
      <c r="AOD14" s="82"/>
      <c r="AOE14" s="82"/>
      <c r="AOF14" s="162" t="s">
        <v>24</v>
      </c>
      <c r="AOG14" s="162"/>
      <c r="AOH14" s="162"/>
      <c r="AOI14" s="162"/>
      <c r="AOJ14" s="102"/>
      <c r="AOK14" s="102"/>
      <c r="AOL14" s="161" t="s">
        <v>25</v>
      </c>
      <c r="AOM14" s="161"/>
      <c r="AON14" s="161"/>
      <c r="AOO14" s="161"/>
      <c r="AOP14" s="82"/>
      <c r="AOQ14" s="82"/>
      <c r="AOR14" s="82"/>
      <c r="AOS14" s="83"/>
      <c r="AOT14" s="81"/>
      <c r="AOU14" s="82"/>
      <c r="AOV14" s="82"/>
      <c r="AOW14" s="82"/>
      <c r="AOX14" s="161" t="s">
        <v>17</v>
      </c>
      <c r="AOY14" s="161"/>
      <c r="AOZ14" s="161"/>
      <c r="APA14" s="161"/>
      <c r="APB14" s="82"/>
      <c r="APC14" s="82"/>
      <c r="APD14" s="162" t="s">
        <v>18</v>
      </c>
      <c r="APE14" s="162"/>
      <c r="APF14" s="162"/>
      <c r="APG14" s="162"/>
      <c r="APH14" s="102"/>
      <c r="API14" s="102"/>
      <c r="APJ14" s="161" t="s">
        <v>19</v>
      </c>
      <c r="APK14" s="161"/>
      <c r="APL14" s="161"/>
      <c r="APM14" s="161"/>
      <c r="APN14" s="82"/>
      <c r="APO14" s="82"/>
      <c r="APP14" s="162" t="s">
        <v>20</v>
      </c>
      <c r="APQ14" s="162"/>
      <c r="APR14" s="162"/>
      <c r="APS14" s="162"/>
      <c r="APT14" s="102"/>
      <c r="APU14" s="102"/>
      <c r="APV14" s="161" t="s">
        <v>21</v>
      </c>
      <c r="APW14" s="161"/>
      <c r="APX14" s="161"/>
      <c r="APY14" s="161"/>
      <c r="APZ14" s="82"/>
      <c r="AQA14" s="82"/>
      <c r="AQB14" s="162" t="s">
        <v>22</v>
      </c>
      <c r="AQC14" s="162"/>
      <c r="AQD14" s="162"/>
      <c r="AQE14" s="162"/>
      <c r="AQF14" s="102"/>
      <c r="AQG14" s="102"/>
      <c r="AQH14" s="161" t="s">
        <v>23</v>
      </c>
      <c r="AQI14" s="161"/>
      <c r="AQJ14" s="161"/>
      <c r="AQK14" s="161"/>
      <c r="AQL14" s="82"/>
      <c r="AQM14" s="82"/>
      <c r="AQN14" s="162" t="s">
        <v>24</v>
      </c>
      <c r="AQO14" s="162"/>
      <c r="AQP14" s="162"/>
      <c r="AQQ14" s="162"/>
      <c r="AQR14" s="102"/>
      <c r="AQS14" s="102"/>
      <c r="AQT14" s="161" t="s">
        <v>25</v>
      </c>
      <c r="AQU14" s="161"/>
      <c r="AQV14" s="161"/>
      <c r="AQW14" s="161"/>
      <c r="AQX14" s="82"/>
      <c r="AQY14" s="82"/>
      <c r="AQZ14" s="82"/>
      <c r="ARA14" s="83"/>
      <c r="ARB14" s="81"/>
      <c r="ARC14" s="82"/>
      <c r="ARD14" s="82"/>
      <c r="ARE14" s="82"/>
      <c r="ARF14" s="161" t="s">
        <v>17</v>
      </c>
      <c r="ARG14" s="161"/>
      <c r="ARH14" s="161"/>
      <c r="ARI14" s="161"/>
      <c r="ARJ14" s="82"/>
      <c r="ARK14" s="82"/>
      <c r="ARL14" s="162" t="s">
        <v>18</v>
      </c>
      <c r="ARM14" s="162"/>
      <c r="ARN14" s="162"/>
      <c r="ARO14" s="162"/>
      <c r="ARP14" s="102"/>
      <c r="ARQ14" s="102"/>
      <c r="ARR14" s="161" t="s">
        <v>19</v>
      </c>
      <c r="ARS14" s="161"/>
      <c r="ART14" s="161"/>
      <c r="ARU14" s="161"/>
      <c r="ARV14" s="82"/>
      <c r="ARW14" s="82"/>
      <c r="ARX14" s="162" t="s">
        <v>20</v>
      </c>
      <c r="ARY14" s="162"/>
      <c r="ARZ14" s="162"/>
      <c r="ASA14" s="162"/>
      <c r="ASB14" s="102"/>
      <c r="ASC14" s="102"/>
      <c r="ASD14" s="161" t="s">
        <v>21</v>
      </c>
      <c r="ASE14" s="161"/>
      <c r="ASF14" s="161"/>
      <c r="ASG14" s="161"/>
      <c r="ASH14" s="82"/>
      <c r="ASI14" s="82"/>
      <c r="ASJ14" s="162" t="s">
        <v>22</v>
      </c>
      <c r="ASK14" s="162"/>
      <c r="ASL14" s="162"/>
      <c r="ASM14" s="162"/>
      <c r="ASN14" s="102"/>
      <c r="ASO14" s="102"/>
      <c r="ASP14" s="161" t="s">
        <v>23</v>
      </c>
      <c r="ASQ14" s="161"/>
      <c r="ASR14" s="161"/>
      <c r="ASS14" s="161"/>
      <c r="AST14" s="82"/>
      <c r="ASU14" s="82"/>
      <c r="ASV14" s="162" t="s">
        <v>24</v>
      </c>
      <c r="ASW14" s="162"/>
      <c r="ASX14" s="162"/>
      <c r="ASY14" s="162"/>
      <c r="ASZ14" s="102"/>
      <c r="ATA14" s="102"/>
      <c r="ATB14" s="161" t="s">
        <v>25</v>
      </c>
      <c r="ATC14" s="161"/>
      <c r="ATD14" s="161"/>
      <c r="ATE14" s="161"/>
      <c r="ATF14" s="82"/>
      <c r="ATG14" s="82"/>
      <c r="ATH14" s="82"/>
      <c r="ATI14" s="83"/>
      <c r="ATJ14" s="81"/>
      <c r="ATK14" s="82"/>
      <c r="ATL14" s="82"/>
      <c r="ATM14" s="82"/>
      <c r="ATN14" s="161" t="s">
        <v>17</v>
      </c>
      <c r="ATO14" s="161"/>
      <c r="ATP14" s="161"/>
      <c r="ATQ14" s="161"/>
      <c r="ATR14" s="82"/>
      <c r="ATS14" s="82"/>
      <c r="ATT14" s="162" t="s">
        <v>18</v>
      </c>
      <c r="ATU14" s="162"/>
      <c r="ATV14" s="162"/>
      <c r="ATW14" s="162"/>
      <c r="ATX14" s="102"/>
      <c r="ATY14" s="102"/>
      <c r="ATZ14" s="161" t="s">
        <v>19</v>
      </c>
      <c r="AUA14" s="161"/>
      <c r="AUB14" s="161"/>
      <c r="AUC14" s="161"/>
      <c r="AUD14" s="82"/>
      <c r="AUE14" s="82"/>
      <c r="AUF14" s="162" t="s">
        <v>20</v>
      </c>
      <c r="AUG14" s="162"/>
      <c r="AUH14" s="162"/>
      <c r="AUI14" s="162"/>
      <c r="AUJ14" s="102"/>
      <c r="AUK14" s="102"/>
      <c r="AUL14" s="161" t="s">
        <v>21</v>
      </c>
      <c r="AUM14" s="161"/>
      <c r="AUN14" s="161"/>
      <c r="AUO14" s="161"/>
      <c r="AUP14" s="82"/>
      <c r="AUQ14" s="82"/>
      <c r="AUR14" s="162" t="s">
        <v>22</v>
      </c>
      <c r="AUS14" s="162"/>
      <c r="AUT14" s="162"/>
      <c r="AUU14" s="162"/>
      <c r="AUV14" s="102"/>
      <c r="AUW14" s="102"/>
      <c r="AUX14" s="161" t="s">
        <v>23</v>
      </c>
      <c r="AUY14" s="161"/>
      <c r="AUZ14" s="161"/>
      <c r="AVA14" s="161"/>
      <c r="AVB14" s="82"/>
      <c r="AVC14" s="82"/>
      <c r="AVD14" s="162" t="s">
        <v>24</v>
      </c>
      <c r="AVE14" s="162"/>
      <c r="AVF14" s="162"/>
      <c r="AVG14" s="162"/>
      <c r="AVH14" s="102"/>
      <c r="AVI14" s="102"/>
      <c r="AVJ14" s="161" t="s">
        <v>25</v>
      </c>
      <c r="AVK14" s="161"/>
      <c r="AVL14" s="161"/>
      <c r="AVM14" s="161"/>
      <c r="AVN14" s="82"/>
      <c r="AVO14" s="82"/>
      <c r="AVP14" s="82"/>
      <c r="AVQ14" s="83"/>
      <c r="AVR14" s="81"/>
      <c r="AVS14" s="82"/>
      <c r="AVT14" s="82"/>
      <c r="AVU14" s="82"/>
      <c r="AVV14" s="161" t="s">
        <v>17</v>
      </c>
      <c r="AVW14" s="161"/>
      <c r="AVX14" s="161"/>
      <c r="AVY14" s="161"/>
      <c r="AVZ14" s="82"/>
      <c r="AWA14" s="82"/>
      <c r="AWB14" s="162" t="s">
        <v>18</v>
      </c>
      <c r="AWC14" s="162"/>
      <c r="AWD14" s="162"/>
      <c r="AWE14" s="162"/>
      <c r="AWF14" s="102"/>
      <c r="AWG14" s="102"/>
      <c r="AWH14" s="161" t="s">
        <v>19</v>
      </c>
      <c r="AWI14" s="161"/>
      <c r="AWJ14" s="161"/>
      <c r="AWK14" s="161"/>
      <c r="AWL14" s="82"/>
      <c r="AWM14" s="82"/>
      <c r="AWN14" s="162" t="s">
        <v>20</v>
      </c>
      <c r="AWO14" s="162"/>
      <c r="AWP14" s="162"/>
      <c r="AWQ14" s="162"/>
      <c r="AWR14" s="102"/>
      <c r="AWS14" s="102"/>
      <c r="AWT14" s="161" t="s">
        <v>21</v>
      </c>
      <c r="AWU14" s="161"/>
      <c r="AWV14" s="161"/>
      <c r="AWW14" s="161"/>
      <c r="AWX14" s="82"/>
      <c r="AWY14" s="82"/>
      <c r="AWZ14" s="162" t="s">
        <v>22</v>
      </c>
      <c r="AXA14" s="162"/>
      <c r="AXB14" s="162"/>
      <c r="AXC14" s="162"/>
      <c r="AXD14" s="102"/>
      <c r="AXE14" s="102"/>
      <c r="AXF14" s="161" t="s">
        <v>23</v>
      </c>
      <c r="AXG14" s="161"/>
      <c r="AXH14" s="161"/>
      <c r="AXI14" s="161"/>
      <c r="AXJ14" s="82"/>
      <c r="AXK14" s="82"/>
      <c r="AXL14" s="162" t="s">
        <v>24</v>
      </c>
      <c r="AXM14" s="162"/>
      <c r="AXN14" s="162"/>
      <c r="AXO14" s="162"/>
      <c r="AXP14" s="102"/>
      <c r="AXQ14" s="102"/>
      <c r="AXR14" s="161" t="s">
        <v>25</v>
      </c>
      <c r="AXS14" s="161"/>
      <c r="AXT14" s="161"/>
      <c r="AXU14" s="161"/>
      <c r="AXV14" s="82"/>
      <c r="AXW14" s="82"/>
      <c r="AXX14" s="82"/>
      <c r="AXY14" s="83"/>
      <c r="AXZ14" s="73"/>
    </row>
    <row r="15" spans="1:1566" ht="20.100000000000001" customHeight="1" x14ac:dyDescent="0.25">
      <c r="A15" s="78" t="s">
        <v>26</v>
      </c>
      <c r="B15" s="51" t="str">
        <f>IF(LEN(C15)=0,"",C15)</f>
        <v xml:space="preserve">Absences - Imprévus </v>
      </c>
      <c r="C15" s="179" t="s">
        <v>49</v>
      </c>
      <c r="D15" s="122" t="str">
        <f>setValueToTime(E15)</f>
        <v>90h</v>
      </c>
      <c r="E15" s="26">
        <v>1080</v>
      </c>
      <c r="F15" s="205"/>
      <c r="G15" s="206"/>
      <c r="H15" s="206"/>
      <c r="I15" s="206"/>
      <c r="J15" s="206"/>
      <c r="K15" s="207"/>
      <c r="L15" s="206"/>
      <c r="M15" s="206"/>
      <c r="N15" s="206"/>
      <c r="O15" s="206"/>
      <c r="P15" s="206"/>
      <c r="Q15" s="208"/>
      <c r="R15" s="206"/>
      <c r="S15" s="206"/>
      <c r="T15" s="206"/>
      <c r="U15" s="206"/>
      <c r="V15" s="206"/>
      <c r="W15" s="209"/>
      <c r="X15" s="206"/>
      <c r="Y15" s="206"/>
      <c r="Z15" s="206"/>
      <c r="AA15" s="206"/>
      <c r="AB15" s="206"/>
      <c r="AC15" s="208"/>
      <c r="AD15" s="206"/>
      <c r="AE15" s="206"/>
      <c r="AF15" s="206"/>
      <c r="AG15" s="206"/>
      <c r="AH15" s="206"/>
      <c r="AI15" s="209"/>
      <c r="AJ15" s="206"/>
      <c r="AK15" s="206"/>
      <c r="AL15" s="206"/>
      <c r="AM15" s="206"/>
      <c r="AN15" s="206"/>
      <c r="AO15" s="208"/>
      <c r="AP15" s="206"/>
      <c r="AQ15" s="206"/>
      <c r="AR15" s="206"/>
      <c r="AS15" s="206"/>
      <c r="AT15" s="206"/>
      <c r="AU15" s="209"/>
      <c r="AV15" s="206"/>
      <c r="AW15" s="206"/>
      <c r="AX15" s="206"/>
      <c r="AY15" s="206"/>
      <c r="AZ15" s="206"/>
      <c r="BA15" s="208"/>
      <c r="BB15" s="206"/>
      <c r="BC15" s="206"/>
      <c r="BD15" s="206"/>
      <c r="BE15" s="206"/>
      <c r="BF15" s="206"/>
      <c r="BG15" s="209"/>
      <c r="BH15" s="206"/>
      <c r="BI15" s="206"/>
      <c r="BJ15" s="206"/>
      <c r="BK15" s="206"/>
      <c r="BL15" s="206"/>
      <c r="BM15" s="210"/>
      <c r="BN15" s="205"/>
      <c r="BO15" s="206"/>
      <c r="BP15" s="206"/>
      <c r="BQ15" s="206"/>
      <c r="BR15" s="206"/>
      <c r="BS15" s="207"/>
      <c r="BT15" s="206"/>
      <c r="BU15" s="206"/>
      <c r="BV15" s="206"/>
      <c r="BW15" s="206"/>
      <c r="BX15" s="206"/>
      <c r="BY15" s="208"/>
      <c r="BZ15" s="206"/>
      <c r="CA15" s="206"/>
      <c r="CB15" s="206"/>
      <c r="CC15" s="206"/>
      <c r="CD15" s="206"/>
      <c r="CE15" s="209"/>
      <c r="CF15" s="206"/>
      <c r="CG15" s="206"/>
      <c r="CH15" s="206"/>
      <c r="CI15" s="206"/>
      <c r="CJ15" s="206"/>
      <c r="CK15" s="208"/>
      <c r="CL15" s="206"/>
      <c r="CM15" s="206"/>
      <c r="CN15" s="206"/>
      <c r="CO15" s="206"/>
      <c r="CP15" s="206"/>
      <c r="CQ15" s="209"/>
      <c r="CR15" s="206"/>
      <c r="CS15" s="206"/>
      <c r="CT15" s="206"/>
      <c r="CU15" s="206"/>
      <c r="CV15" s="206"/>
      <c r="CW15" s="208"/>
      <c r="CX15" s="206"/>
      <c r="CY15" s="206"/>
      <c r="CZ15" s="206"/>
      <c r="DA15" s="206"/>
      <c r="DB15" s="206"/>
      <c r="DC15" s="209"/>
      <c r="DD15" s="206"/>
      <c r="DE15" s="206"/>
      <c r="DF15" s="206"/>
      <c r="DG15" s="206"/>
      <c r="DH15" s="206"/>
      <c r="DI15" s="208"/>
      <c r="DJ15" s="206"/>
      <c r="DK15" s="206"/>
      <c r="DL15" s="206"/>
      <c r="DM15" s="206"/>
      <c r="DN15" s="206"/>
      <c r="DO15" s="209"/>
      <c r="DP15" s="206"/>
      <c r="DQ15" s="206"/>
      <c r="DR15" s="206"/>
      <c r="DS15" s="206"/>
      <c r="DT15" s="206"/>
      <c r="DU15" s="210"/>
      <c r="DV15" s="205"/>
      <c r="DW15" s="206"/>
      <c r="DX15" s="206"/>
      <c r="DY15" s="206"/>
      <c r="DZ15" s="206"/>
      <c r="EA15" s="207"/>
      <c r="EB15" s="206"/>
      <c r="EC15" s="206"/>
      <c r="ED15" s="206"/>
      <c r="EE15" s="206"/>
      <c r="EF15" s="206"/>
      <c r="EG15" s="208"/>
      <c r="EH15" s="206"/>
      <c r="EI15" s="206"/>
      <c r="EJ15" s="206"/>
      <c r="EK15" s="206"/>
      <c r="EL15" s="206"/>
      <c r="EM15" s="209"/>
      <c r="EN15" s="206"/>
      <c r="EO15" s="206"/>
      <c r="EP15" s="206"/>
      <c r="EQ15" s="206"/>
      <c r="ER15" s="206"/>
      <c r="ES15" s="208"/>
      <c r="ET15" s="206"/>
      <c r="EU15" s="206"/>
      <c r="EV15" s="206"/>
      <c r="EW15" s="206"/>
      <c r="EX15" s="206"/>
      <c r="EY15" s="209"/>
      <c r="EZ15" s="206"/>
      <c r="FA15" s="206"/>
      <c r="FB15" s="206"/>
      <c r="FC15" s="206"/>
      <c r="FD15" s="206"/>
      <c r="FE15" s="208"/>
      <c r="FF15" s="206"/>
      <c r="FG15" s="206"/>
      <c r="FH15" s="206"/>
      <c r="FI15" s="206"/>
      <c r="FJ15" s="206"/>
      <c r="FK15" s="209"/>
      <c r="FL15" s="206"/>
      <c r="FM15" s="206"/>
      <c r="FN15" s="206"/>
      <c r="FO15" s="206"/>
      <c r="FP15" s="206"/>
      <c r="FQ15" s="208"/>
      <c r="FR15" s="206"/>
      <c r="FS15" s="206"/>
      <c r="FT15" s="206"/>
      <c r="FU15" s="206"/>
      <c r="FV15" s="206"/>
      <c r="FW15" s="209"/>
      <c r="FX15" s="206"/>
      <c r="FY15" s="206"/>
      <c r="FZ15" s="206"/>
      <c r="GA15" s="206"/>
      <c r="GB15" s="206"/>
      <c r="GC15" s="210"/>
      <c r="GD15" s="205"/>
      <c r="GE15" s="206"/>
      <c r="GF15" s="206"/>
      <c r="GG15" s="206"/>
      <c r="GH15" s="206"/>
      <c r="GI15" s="207"/>
      <c r="GJ15" s="206"/>
      <c r="GK15" s="206"/>
      <c r="GL15" s="206"/>
      <c r="GM15" s="206"/>
      <c r="GN15" s="206"/>
      <c r="GO15" s="208"/>
      <c r="GP15" s="206"/>
      <c r="GQ15" s="206"/>
      <c r="GR15" s="206"/>
      <c r="GS15" s="206"/>
      <c r="GT15" s="206"/>
      <c r="GU15" s="209"/>
      <c r="GV15" s="206"/>
      <c r="GW15" s="206"/>
      <c r="GX15" s="206"/>
      <c r="GY15" s="206"/>
      <c r="GZ15" s="206"/>
      <c r="HA15" s="208"/>
      <c r="HB15" s="206"/>
      <c r="HC15" s="206"/>
      <c r="HD15" s="206"/>
      <c r="HE15" s="206"/>
      <c r="HF15" s="206"/>
      <c r="HG15" s="209"/>
      <c r="HH15" s="206"/>
      <c r="HI15" s="206"/>
      <c r="HJ15" s="206"/>
      <c r="HK15" s="206"/>
      <c r="HL15" s="206"/>
      <c r="HM15" s="208"/>
      <c r="HN15" s="206"/>
      <c r="HO15" s="206"/>
      <c r="HP15" s="206"/>
      <c r="HQ15" s="206"/>
      <c r="HR15" s="206"/>
      <c r="HS15" s="209"/>
      <c r="HT15" s="206"/>
      <c r="HU15" s="206"/>
      <c r="HV15" s="206"/>
      <c r="HW15" s="206"/>
      <c r="HX15" s="206"/>
      <c r="HY15" s="208"/>
      <c r="HZ15" s="206"/>
      <c r="IA15" s="206"/>
      <c r="IB15" s="206"/>
      <c r="IC15" s="206"/>
      <c r="ID15" s="206"/>
      <c r="IE15" s="209"/>
      <c r="IF15" s="206"/>
      <c r="IG15" s="206"/>
      <c r="IH15" s="206"/>
      <c r="II15" s="206"/>
      <c r="IJ15" s="206"/>
      <c r="IK15" s="210"/>
      <c r="IL15" s="205"/>
      <c r="IM15" s="206"/>
      <c r="IN15" s="206"/>
      <c r="IO15" s="206"/>
      <c r="IP15" s="206"/>
      <c r="IQ15" s="207"/>
      <c r="IR15" s="206"/>
      <c r="IS15" s="206"/>
      <c r="IT15" s="206"/>
      <c r="IU15" s="206"/>
      <c r="IV15" s="206"/>
      <c r="IW15" s="208"/>
      <c r="IX15" s="206"/>
      <c r="IY15" s="206"/>
      <c r="IZ15" s="206"/>
      <c r="JA15" s="206"/>
      <c r="JB15" s="206"/>
      <c r="JC15" s="209"/>
      <c r="JD15" s="206"/>
      <c r="JE15" s="206"/>
      <c r="JF15" s="206"/>
      <c r="JG15" s="206"/>
      <c r="JH15" s="206"/>
      <c r="JI15" s="208"/>
      <c r="JJ15" s="206"/>
      <c r="JK15" s="206"/>
      <c r="JL15" s="206"/>
      <c r="JM15" s="206"/>
      <c r="JN15" s="206"/>
      <c r="JO15" s="209"/>
      <c r="JP15" s="206"/>
      <c r="JQ15" s="206"/>
      <c r="JR15" s="206"/>
      <c r="JS15" s="206"/>
      <c r="JT15" s="206"/>
      <c r="JU15" s="208"/>
      <c r="JV15" s="206"/>
      <c r="JW15" s="206"/>
      <c r="JX15" s="206"/>
      <c r="JY15" s="206"/>
      <c r="JZ15" s="206"/>
      <c r="KA15" s="209"/>
      <c r="KB15" s="206"/>
      <c r="KC15" s="206"/>
      <c r="KD15" s="206"/>
      <c r="KE15" s="206"/>
      <c r="KF15" s="206"/>
      <c r="KG15" s="208"/>
      <c r="KH15" s="206"/>
      <c r="KI15" s="206"/>
      <c r="KJ15" s="206"/>
      <c r="KK15" s="206"/>
      <c r="KL15" s="206"/>
      <c r="KM15" s="209"/>
      <c r="KN15" s="206"/>
      <c r="KO15" s="206"/>
      <c r="KP15" s="206"/>
      <c r="KQ15" s="206"/>
      <c r="KR15" s="206"/>
      <c r="KS15" s="210"/>
      <c r="KT15" s="205"/>
      <c r="KU15" s="206"/>
      <c r="KV15" s="206"/>
      <c r="KW15" s="206"/>
      <c r="KX15" s="206"/>
      <c r="KY15" s="207"/>
      <c r="KZ15" s="206"/>
      <c r="LA15" s="206"/>
      <c r="LB15" s="206"/>
      <c r="LC15" s="206"/>
      <c r="LD15" s="206"/>
      <c r="LE15" s="208"/>
      <c r="LF15" s="206"/>
      <c r="LG15" s="206"/>
      <c r="LH15" s="206"/>
      <c r="LI15" s="206"/>
      <c r="LJ15" s="206"/>
      <c r="LK15" s="209"/>
      <c r="LL15" s="206"/>
      <c r="LM15" s="206"/>
      <c r="LN15" s="206"/>
      <c r="LO15" s="206"/>
      <c r="LP15" s="206"/>
      <c r="LQ15" s="208"/>
      <c r="LR15" s="206"/>
      <c r="LS15" s="206"/>
      <c r="LT15" s="206"/>
      <c r="LU15" s="206"/>
      <c r="LV15" s="206"/>
      <c r="LW15" s="209"/>
      <c r="LX15" s="206"/>
      <c r="LY15" s="206"/>
      <c r="LZ15" s="206"/>
      <c r="MA15" s="206"/>
      <c r="MB15" s="206"/>
      <c r="MC15" s="208"/>
      <c r="MD15" s="206"/>
      <c r="ME15" s="206"/>
      <c r="MF15" s="206"/>
      <c r="MG15" s="206"/>
      <c r="MH15" s="206"/>
      <c r="MI15" s="209"/>
      <c r="MJ15" s="206"/>
      <c r="MK15" s="206"/>
      <c r="ML15" s="206"/>
      <c r="MM15" s="206"/>
      <c r="MN15" s="206"/>
      <c r="MO15" s="208"/>
      <c r="MP15" s="206"/>
      <c r="MQ15" s="206"/>
      <c r="MR15" s="206"/>
      <c r="MS15" s="206"/>
      <c r="MT15" s="206"/>
      <c r="MU15" s="209"/>
      <c r="MV15" s="206"/>
      <c r="MW15" s="206"/>
      <c r="MX15" s="206"/>
      <c r="MY15" s="206"/>
      <c r="MZ15" s="206"/>
      <c r="NA15" s="210"/>
      <c r="NB15" s="205"/>
      <c r="NC15" s="206"/>
      <c r="ND15" s="206"/>
      <c r="NE15" s="206"/>
      <c r="NF15" s="206"/>
      <c r="NG15" s="207"/>
      <c r="NH15" s="206"/>
      <c r="NI15" s="206"/>
      <c r="NJ15" s="206"/>
      <c r="NK15" s="206"/>
      <c r="NL15" s="206"/>
      <c r="NM15" s="208"/>
      <c r="NN15" s="206"/>
      <c r="NO15" s="206"/>
      <c r="NP15" s="206"/>
      <c r="NQ15" s="206"/>
      <c r="NR15" s="206"/>
      <c r="NS15" s="209"/>
      <c r="NT15" s="206"/>
      <c r="NU15" s="206"/>
      <c r="NV15" s="206"/>
      <c r="NW15" s="206"/>
      <c r="NX15" s="206"/>
      <c r="NY15" s="208"/>
      <c r="NZ15" s="206"/>
      <c r="OA15" s="206"/>
      <c r="OB15" s="206"/>
      <c r="OC15" s="206"/>
      <c r="OD15" s="206"/>
      <c r="OE15" s="209"/>
      <c r="OF15" s="206"/>
      <c r="OG15" s="206"/>
      <c r="OH15" s="206"/>
      <c r="OI15" s="206"/>
      <c r="OJ15" s="206"/>
      <c r="OK15" s="208"/>
      <c r="OL15" s="206"/>
      <c r="OM15" s="206"/>
      <c r="ON15" s="206"/>
      <c r="OO15" s="206"/>
      <c r="OP15" s="206"/>
      <c r="OQ15" s="209"/>
      <c r="OR15" s="206"/>
      <c r="OS15" s="206"/>
      <c r="OT15" s="206"/>
      <c r="OU15" s="206"/>
      <c r="OV15" s="206"/>
      <c r="OW15" s="208"/>
      <c r="OX15" s="206"/>
      <c r="OY15" s="206"/>
      <c r="OZ15" s="206"/>
      <c r="PA15" s="206"/>
      <c r="PB15" s="206"/>
      <c r="PC15" s="209"/>
      <c r="PD15" s="206"/>
      <c r="PE15" s="206"/>
      <c r="PF15" s="206"/>
      <c r="PG15" s="206"/>
      <c r="PH15" s="206"/>
      <c r="PI15" s="210"/>
      <c r="PJ15" s="205"/>
      <c r="PK15" s="206"/>
      <c r="PL15" s="206"/>
      <c r="PM15" s="206"/>
      <c r="PN15" s="206"/>
      <c r="PO15" s="207"/>
      <c r="PP15" s="206"/>
      <c r="PQ15" s="206"/>
      <c r="PR15" s="206"/>
      <c r="PS15" s="206"/>
      <c r="PT15" s="206"/>
      <c r="PU15" s="208"/>
      <c r="PV15" s="206"/>
      <c r="PW15" s="206"/>
      <c r="PX15" s="206"/>
      <c r="PY15" s="206"/>
      <c r="PZ15" s="206"/>
      <c r="QA15" s="209"/>
      <c r="QB15" s="206"/>
      <c r="QC15" s="206"/>
      <c r="QD15" s="206"/>
      <c r="QE15" s="206"/>
      <c r="QF15" s="206"/>
      <c r="QG15" s="208"/>
      <c r="QH15" s="206"/>
      <c r="QI15" s="206"/>
      <c r="QJ15" s="206"/>
      <c r="QK15" s="206"/>
      <c r="QL15" s="206"/>
      <c r="QM15" s="209"/>
      <c r="QN15" s="206"/>
      <c r="QO15" s="206"/>
      <c r="QP15" s="206"/>
      <c r="QQ15" s="206"/>
      <c r="QR15" s="206"/>
      <c r="QS15" s="208"/>
      <c r="QT15" s="206"/>
      <c r="QU15" s="206"/>
      <c r="QV15" s="206"/>
      <c r="QW15" s="206"/>
      <c r="QX15" s="206"/>
      <c r="QY15" s="209"/>
      <c r="QZ15" s="206"/>
      <c r="RA15" s="206"/>
      <c r="RB15" s="206"/>
      <c r="RC15" s="206"/>
      <c r="RD15" s="206"/>
      <c r="RE15" s="208"/>
      <c r="RF15" s="206"/>
      <c r="RG15" s="206"/>
      <c r="RH15" s="206"/>
      <c r="RI15" s="206"/>
      <c r="RJ15" s="206"/>
      <c r="RK15" s="209"/>
      <c r="RL15" s="206"/>
      <c r="RM15" s="206"/>
      <c r="RN15" s="206"/>
      <c r="RO15" s="206"/>
      <c r="RP15" s="206"/>
      <c r="RQ15" s="210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73"/>
    </row>
    <row r="16" spans="1:1566" ht="20.100000000000001" customHeight="1" x14ac:dyDescent="0.25">
      <c r="A16" s="78" t="s">
        <v>27</v>
      </c>
      <c r="B16" s="51" t="str">
        <f>IF(LEN(C17)=0,"",C17)</f>
        <v>Analyse - Analyse du CDC</v>
      </c>
      <c r="C16" s="164"/>
      <c r="D16" s="120" t="str">
        <f t="shared" ref="D16:D79" si="0">setValueToTime(E16)</f>
        <v>90h</v>
      </c>
      <c r="E16" s="30">
        <v>1080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73"/>
    </row>
    <row r="17" spans="1:1326" ht="20.100000000000001" customHeight="1" x14ac:dyDescent="0.25">
      <c r="A17" s="78" t="s">
        <v>26</v>
      </c>
      <c r="B17" s="51" t="str">
        <f>IF(LEN(C19)=0,"",C19)</f>
        <v>Analyse - MCD/MLD/MPD</v>
      </c>
      <c r="C17" s="163" t="s">
        <v>48</v>
      </c>
      <c r="D17" s="119" t="str">
        <f t="shared" si="0"/>
        <v>90h 30 min</v>
      </c>
      <c r="E17" s="26">
        <v>1086</v>
      </c>
      <c r="F17" s="211"/>
      <c r="G17" s="212"/>
      <c r="H17" s="212"/>
      <c r="I17" s="212"/>
      <c r="J17" s="212"/>
      <c r="K17" s="213"/>
      <c r="L17" s="212"/>
      <c r="M17" s="212"/>
      <c r="N17" s="212"/>
      <c r="O17" s="212"/>
      <c r="P17" s="212"/>
      <c r="Q17" s="214"/>
      <c r="R17" s="212"/>
      <c r="S17" s="212"/>
      <c r="T17" s="226"/>
      <c r="U17" s="226"/>
      <c r="V17" s="226"/>
      <c r="W17" s="228"/>
      <c r="X17" s="226"/>
      <c r="Y17" s="226"/>
      <c r="Z17" s="212"/>
      <c r="AA17" s="212"/>
      <c r="AB17" s="212"/>
      <c r="AC17" s="214"/>
      <c r="AD17" s="212"/>
      <c r="AE17" s="212"/>
      <c r="AF17" s="212"/>
      <c r="AG17" s="212"/>
      <c r="AH17" s="212"/>
      <c r="AI17" s="215"/>
      <c r="AJ17" s="212"/>
      <c r="AK17" s="212"/>
      <c r="AL17" s="212"/>
      <c r="AM17" s="212"/>
      <c r="AN17" s="212"/>
      <c r="AO17" s="214"/>
      <c r="AP17" s="212"/>
      <c r="AQ17" s="212"/>
      <c r="AR17" s="212"/>
      <c r="AS17" s="212"/>
      <c r="AT17" s="212"/>
      <c r="AU17" s="215"/>
      <c r="AV17" s="212"/>
      <c r="AW17" s="212"/>
      <c r="AX17" s="212"/>
      <c r="AY17" s="212"/>
      <c r="AZ17" s="212"/>
      <c r="BA17" s="214"/>
      <c r="BB17" s="212"/>
      <c r="BC17" s="212"/>
      <c r="BD17" s="212"/>
      <c r="BE17" s="212"/>
      <c r="BF17" s="212"/>
      <c r="BG17" s="215"/>
      <c r="BH17" s="212"/>
      <c r="BI17" s="212"/>
      <c r="BJ17" s="212"/>
      <c r="BK17" s="212"/>
      <c r="BL17" s="212"/>
      <c r="BM17" s="216"/>
      <c r="BN17" s="211"/>
      <c r="BO17" s="212"/>
      <c r="BP17" s="212"/>
      <c r="BQ17" s="212"/>
      <c r="BR17" s="212"/>
      <c r="BS17" s="213"/>
      <c r="BT17" s="212"/>
      <c r="BU17" s="212"/>
      <c r="BV17" s="212"/>
      <c r="BW17" s="212"/>
      <c r="BX17" s="212"/>
      <c r="BY17" s="214"/>
      <c r="BZ17" s="212"/>
      <c r="CA17" s="212"/>
      <c r="CB17" s="212"/>
      <c r="CC17" s="212"/>
      <c r="CD17" s="212"/>
      <c r="CE17" s="215"/>
      <c r="CF17" s="212"/>
      <c r="CG17" s="212"/>
      <c r="CH17" s="212"/>
      <c r="CI17" s="212"/>
      <c r="CJ17" s="212"/>
      <c r="CK17" s="214"/>
      <c r="CL17" s="212"/>
      <c r="CM17" s="212"/>
      <c r="CN17" s="212"/>
      <c r="CO17" s="212"/>
      <c r="CP17" s="212"/>
      <c r="CQ17" s="215"/>
      <c r="CR17" s="212"/>
      <c r="CS17" s="212"/>
      <c r="CT17" s="212"/>
      <c r="CU17" s="212"/>
      <c r="CV17" s="212"/>
      <c r="CW17" s="214"/>
      <c r="CX17" s="212"/>
      <c r="CY17" s="212"/>
      <c r="CZ17" s="212"/>
      <c r="DA17" s="212"/>
      <c r="DB17" s="212"/>
      <c r="DC17" s="215"/>
      <c r="DD17" s="212"/>
      <c r="DE17" s="212"/>
      <c r="DF17" s="212"/>
      <c r="DG17" s="212"/>
      <c r="DH17" s="212"/>
      <c r="DI17" s="214"/>
      <c r="DJ17" s="212"/>
      <c r="DK17" s="212"/>
      <c r="DL17" s="212"/>
      <c r="DM17" s="212"/>
      <c r="DN17" s="212"/>
      <c r="DO17" s="215"/>
      <c r="DP17" s="212"/>
      <c r="DQ17" s="212"/>
      <c r="DR17" s="212"/>
      <c r="DS17" s="212"/>
      <c r="DT17" s="212"/>
      <c r="DU17" s="216"/>
      <c r="DV17" s="211"/>
      <c r="DW17" s="212"/>
      <c r="DX17" s="212"/>
      <c r="DY17" s="212"/>
      <c r="DZ17" s="212"/>
      <c r="EA17" s="213"/>
      <c r="EB17" s="212"/>
      <c r="EC17" s="212"/>
      <c r="ED17" s="212"/>
      <c r="EE17" s="212"/>
      <c r="EF17" s="212"/>
      <c r="EG17" s="214"/>
      <c r="EH17" s="212"/>
      <c r="EI17" s="212"/>
      <c r="EJ17" s="212"/>
      <c r="EK17" s="212"/>
      <c r="EL17" s="212"/>
      <c r="EM17" s="215"/>
      <c r="EN17" s="212"/>
      <c r="EO17" s="212"/>
      <c r="EP17" s="212"/>
      <c r="EQ17" s="212"/>
      <c r="ER17" s="212"/>
      <c r="ES17" s="214"/>
      <c r="ET17" s="212"/>
      <c r="EU17" s="212"/>
      <c r="EV17" s="212"/>
      <c r="EW17" s="212"/>
      <c r="EX17" s="212"/>
      <c r="EY17" s="215"/>
      <c r="EZ17" s="212"/>
      <c r="FA17" s="212"/>
      <c r="FB17" s="212"/>
      <c r="FC17" s="212"/>
      <c r="FD17" s="212"/>
      <c r="FE17" s="214"/>
      <c r="FF17" s="212"/>
      <c r="FG17" s="212"/>
      <c r="FH17" s="212"/>
      <c r="FI17" s="212"/>
      <c r="FJ17" s="212"/>
      <c r="FK17" s="215"/>
      <c r="FL17" s="212"/>
      <c r="FM17" s="212"/>
      <c r="FN17" s="212"/>
      <c r="FO17" s="212"/>
      <c r="FP17" s="212"/>
      <c r="FQ17" s="214"/>
      <c r="FR17" s="212"/>
      <c r="FS17" s="212"/>
      <c r="FT17" s="212"/>
      <c r="FU17" s="212"/>
      <c r="FV17" s="212"/>
      <c r="FW17" s="215"/>
      <c r="FX17" s="212"/>
      <c r="FY17" s="212"/>
      <c r="FZ17" s="212"/>
      <c r="GA17" s="212"/>
      <c r="GB17" s="212"/>
      <c r="GC17" s="216"/>
      <c r="GD17" s="211"/>
      <c r="GE17" s="212"/>
      <c r="GF17" s="212"/>
      <c r="GG17" s="212"/>
      <c r="GH17" s="212"/>
      <c r="GI17" s="213"/>
      <c r="GJ17" s="212"/>
      <c r="GK17" s="212"/>
      <c r="GL17" s="212"/>
      <c r="GM17" s="212"/>
      <c r="GN17" s="212"/>
      <c r="GO17" s="214"/>
      <c r="GP17" s="212"/>
      <c r="GQ17" s="212"/>
      <c r="GR17" s="212"/>
      <c r="GS17" s="212"/>
      <c r="GT17" s="212"/>
      <c r="GU17" s="215"/>
      <c r="GV17" s="212"/>
      <c r="GW17" s="212"/>
      <c r="GX17" s="212"/>
      <c r="GY17" s="212"/>
      <c r="GZ17" s="212"/>
      <c r="HA17" s="214"/>
      <c r="HB17" s="212"/>
      <c r="HC17" s="212"/>
      <c r="HD17" s="212"/>
      <c r="HE17" s="212"/>
      <c r="HF17" s="212"/>
      <c r="HG17" s="215"/>
      <c r="HH17" s="212"/>
      <c r="HI17" s="212"/>
      <c r="HJ17" s="212"/>
      <c r="HK17" s="212"/>
      <c r="HL17" s="212"/>
      <c r="HM17" s="214"/>
      <c r="HN17" s="212"/>
      <c r="HO17" s="212"/>
      <c r="HP17" s="212"/>
      <c r="HQ17" s="212"/>
      <c r="HR17" s="212"/>
      <c r="HS17" s="215"/>
      <c r="HT17" s="212"/>
      <c r="HU17" s="212"/>
      <c r="HV17" s="212"/>
      <c r="HW17" s="212"/>
      <c r="HX17" s="212"/>
      <c r="HY17" s="214"/>
      <c r="HZ17" s="212"/>
      <c r="IA17" s="212"/>
      <c r="IB17" s="212"/>
      <c r="IC17" s="212"/>
      <c r="ID17" s="212"/>
      <c r="IE17" s="215"/>
      <c r="IF17" s="212"/>
      <c r="IG17" s="212"/>
      <c r="IH17" s="212"/>
      <c r="II17" s="212"/>
      <c r="IJ17" s="212"/>
      <c r="IK17" s="216"/>
      <c r="IL17" s="211"/>
      <c r="IM17" s="212"/>
      <c r="IN17" s="212"/>
      <c r="IO17" s="212"/>
      <c r="IP17" s="212"/>
      <c r="IQ17" s="213"/>
      <c r="IR17" s="212"/>
      <c r="IS17" s="212"/>
      <c r="IT17" s="212"/>
      <c r="IU17" s="212"/>
      <c r="IV17" s="212"/>
      <c r="IW17" s="214"/>
      <c r="IX17" s="212"/>
      <c r="IY17" s="212"/>
      <c r="IZ17" s="212"/>
      <c r="JA17" s="212"/>
      <c r="JB17" s="212"/>
      <c r="JC17" s="215"/>
      <c r="JD17" s="212"/>
      <c r="JE17" s="212"/>
      <c r="JF17" s="212"/>
      <c r="JG17" s="212"/>
      <c r="JH17" s="212"/>
      <c r="JI17" s="214"/>
      <c r="JJ17" s="212"/>
      <c r="JK17" s="212"/>
      <c r="JL17" s="212"/>
      <c r="JM17" s="212"/>
      <c r="JN17" s="212"/>
      <c r="JO17" s="215"/>
      <c r="JP17" s="212"/>
      <c r="JQ17" s="212"/>
      <c r="JR17" s="212"/>
      <c r="JS17" s="212"/>
      <c r="JT17" s="212"/>
      <c r="JU17" s="214"/>
      <c r="JV17" s="212"/>
      <c r="JW17" s="212"/>
      <c r="JX17" s="212"/>
      <c r="JY17" s="212"/>
      <c r="JZ17" s="212"/>
      <c r="KA17" s="215"/>
      <c r="KB17" s="212"/>
      <c r="KC17" s="212"/>
      <c r="KD17" s="212"/>
      <c r="KE17" s="212"/>
      <c r="KF17" s="212"/>
      <c r="KG17" s="214"/>
      <c r="KH17" s="212"/>
      <c r="KI17" s="212"/>
      <c r="KJ17" s="212"/>
      <c r="KK17" s="212"/>
      <c r="KL17" s="212"/>
      <c r="KM17" s="215"/>
      <c r="KN17" s="212"/>
      <c r="KO17" s="212"/>
      <c r="KP17" s="212"/>
      <c r="KQ17" s="212"/>
      <c r="KR17" s="212"/>
      <c r="KS17" s="216"/>
      <c r="KT17" s="211"/>
      <c r="KU17" s="212"/>
      <c r="KV17" s="212"/>
      <c r="KW17" s="212"/>
      <c r="KX17" s="212"/>
      <c r="KY17" s="213"/>
      <c r="KZ17" s="212"/>
      <c r="LA17" s="212"/>
      <c r="LB17" s="212"/>
      <c r="LC17" s="212"/>
      <c r="LD17" s="212"/>
      <c r="LE17" s="214"/>
      <c r="LF17" s="212"/>
      <c r="LG17" s="212"/>
      <c r="LH17" s="212"/>
      <c r="LI17" s="212"/>
      <c r="LJ17" s="212"/>
      <c r="LK17" s="215"/>
      <c r="LL17" s="212"/>
      <c r="LM17" s="212"/>
      <c r="LN17" s="212"/>
      <c r="LO17" s="212"/>
      <c r="LP17" s="212"/>
      <c r="LQ17" s="214"/>
      <c r="LR17" s="212"/>
      <c r="LS17" s="212"/>
      <c r="LT17" s="212"/>
      <c r="LU17" s="212"/>
      <c r="LV17" s="212"/>
      <c r="LW17" s="215"/>
      <c r="LX17" s="212"/>
      <c r="LY17" s="212"/>
      <c r="LZ17" s="212"/>
      <c r="MA17" s="212"/>
      <c r="MB17" s="212"/>
      <c r="MC17" s="214"/>
      <c r="MD17" s="212"/>
      <c r="ME17" s="212"/>
      <c r="MF17" s="212"/>
      <c r="MG17" s="212"/>
      <c r="MH17" s="212"/>
      <c r="MI17" s="215"/>
      <c r="MJ17" s="212"/>
      <c r="MK17" s="212"/>
      <c r="ML17" s="212"/>
      <c r="MM17" s="212"/>
      <c r="MN17" s="212"/>
      <c r="MO17" s="214"/>
      <c r="MP17" s="212"/>
      <c r="MQ17" s="212"/>
      <c r="MR17" s="212"/>
      <c r="MS17" s="212"/>
      <c r="MT17" s="212"/>
      <c r="MU17" s="215"/>
      <c r="MV17" s="212"/>
      <c r="MW17" s="212"/>
      <c r="MX17" s="212"/>
      <c r="MY17" s="212"/>
      <c r="MZ17" s="212"/>
      <c r="NA17" s="216"/>
      <c r="NB17" s="211"/>
      <c r="NC17" s="212"/>
      <c r="ND17" s="212"/>
      <c r="NE17" s="212"/>
      <c r="NF17" s="212"/>
      <c r="NG17" s="213"/>
      <c r="NH17" s="212"/>
      <c r="NI17" s="212"/>
      <c r="NJ17" s="212"/>
      <c r="NK17" s="212"/>
      <c r="NL17" s="212"/>
      <c r="NM17" s="214"/>
      <c r="NN17" s="212"/>
      <c r="NO17" s="212"/>
      <c r="NP17" s="212"/>
      <c r="NQ17" s="212"/>
      <c r="NR17" s="212"/>
      <c r="NS17" s="215"/>
      <c r="NT17" s="212"/>
      <c r="NU17" s="212"/>
      <c r="NV17" s="212"/>
      <c r="NW17" s="212"/>
      <c r="NX17" s="212"/>
      <c r="NY17" s="214"/>
      <c r="NZ17" s="212"/>
      <c r="OA17" s="212"/>
      <c r="OB17" s="212"/>
      <c r="OC17" s="212"/>
      <c r="OD17" s="212"/>
      <c r="OE17" s="215"/>
      <c r="OF17" s="212"/>
      <c r="OG17" s="212"/>
      <c r="OH17" s="212"/>
      <c r="OI17" s="212"/>
      <c r="OJ17" s="212"/>
      <c r="OK17" s="214"/>
      <c r="OL17" s="212"/>
      <c r="OM17" s="212"/>
      <c r="ON17" s="212"/>
      <c r="OO17" s="212"/>
      <c r="OP17" s="212"/>
      <c r="OQ17" s="215"/>
      <c r="OR17" s="212"/>
      <c r="OS17" s="212"/>
      <c r="OT17" s="212"/>
      <c r="OU17" s="212"/>
      <c r="OV17" s="212"/>
      <c r="OW17" s="214"/>
      <c r="OX17" s="212"/>
      <c r="OY17" s="212"/>
      <c r="OZ17" s="212"/>
      <c r="PA17" s="212"/>
      <c r="PB17" s="212"/>
      <c r="PC17" s="215"/>
      <c r="PD17" s="212"/>
      <c r="PE17" s="212"/>
      <c r="PF17" s="212"/>
      <c r="PG17" s="212"/>
      <c r="PH17" s="212"/>
      <c r="PI17" s="216"/>
      <c r="PJ17" s="211"/>
      <c r="PK17" s="212"/>
      <c r="PL17" s="212"/>
      <c r="PM17" s="212"/>
      <c r="PN17" s="212"/>
      <c r="PO17" s="213"/>
      <c r="PP17" s="212"/>
      <c r="PQ17" s="212"/>
      <c r="PR17" s="212"/>
      <c r="PS17" s="212"/>
      <c r="PT17" s="212"/>
      <c r="PU17" s="214"/>
      <c r="PV17" s="212"/>
      <c r="PW17" s="212"/>
      <c r="PX17" s="212"/>
      <c r="PY17" s="212"/>
      <c r="PZ17" s="212"/>
      <c r="QA17" s="215"/>
      <c r="QB17" s="212"/>
      <c r="QC17" s="212"/>
      <c r="QD17" s="212"/>
      <c r="QE17" s="212"/>
      <c r="QF17" s="212"/>
      <c r="QG17" s="214"/>
      <c r="QH17" s="212"/>
      <c r="QI17" s="212"/>
      <c r="QJ17" s="212"/>
      <c r="QK17" s="212"/>
      <c r="QL17" s="212"/>
      <c r="QM17" s="215"/>
      <c r="QN17" s="212"/>
      <c r="QO17" s="212"/>
      <c r="QP17" s="212"/>
      <c r="QQ17" s="212"/>
      <c r="QR17" s="212"/>
      <c r="QS17" s="214"/>
      <c r="QT17" s="212"/>
      <c r="QU17" s="212"/>
      <c r="QV17" s="212"/>
      <c r="QW17" s="212"/>
      <c r="QX17" s="212"/>
      <c r="QY17" s="215"/>
      <c r="QZ17" s="212"/>
      <c r="RA17" s="212"/>
      <c r="RB17" s="212"/>
      <c r="RC17" s="212"/>
      <c r="RD17" s="212"/>
      <c r="RE17" s="214"/>
      <c r="RF17" s="212"/>
      <c r="RG17" s="212"/>
      <c r="RH17" s="212"/>
      <c r="RI17" s="212"/>
      <c r="RJ17" s="212"/>
      <c r="RK17" s="215"/>
      <c r="RL17" s="212"/>
      <c r="RM17" s="212"/>
      <c r="RN17" s="212"/>
      <c r="RO17" s="212"/>
      <c r="RP17" s="212"/>
      <c r="RQ17" s="216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73"/>
    </row>
    <row r="18" spans="1:1326" ht="20.100000000000001" customHeight="1" x14ac:dyDescent="0.3">
      <c r="A18" s="78" t="s">
        <v>27</v>
      </c>
      <c r="B18" s="51" t="str">
        <f>IF(LEN(C21)=0,"",C21)</f>
        <v>Analyse - Planification initiale</v>
      </c>
      <c r="C18" s="164"/>
      <c r="D18" s="121" t="str">
        <f t="shared" si="0"/>
        <v>90h</v>
      </c>
      <c r="E18" s="30">
        <v>1080</v>
      </c>
      <c r="F18" s="31"/>
      <c r="G18" s="32"/>
      <c r="H18" s="32"/>
      <c r="I18" s="32"/>
      <c r="J18" s="32"/>
      <c r="K18" s="106"/>
      <c r="L18" s="32"/>
      <c r="M18" s="32"/>
      <c r="N18" s="32"/>
      <c r="O18" s="32"/>
      <c r="P18" s="32"/>
      <c r="Q18" s="111"/>
      <c r="R18" s="32"/>
      <c r="S18" s="32"/>
      <c r="T18" s="32"/>
      <c r="U18" s="32"/>
      <c r="V18" s="32"/>
      <c r="W18" s="58"/>
      <c r="X18" s="32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73"/>
    </row>
    <row r="19" spans="1:1326" ht="20.100000000000001" customHeight="1" x14ac:dyDescent="0.25">
      <c r="A19" s="78" t="s">
        <v>26</v>
      </c>
      <c r="B19" s="51" t="str">
        <f>IF(LEN(C23)=0,"",C23)</f>
        <v>Backend - CRUD movies</v>
      </c>
      <c r="C19" s="163" t="s">
        <v>68</v>
      </c>
      <c r="D19" s="119" t="str">
        <f t="shared" si="0"/>
        <v>92h</v>
      </c>
      <c r="E19" s="34">
        <v>1104</v>
      </c>
      <c r="F19" s="217"/>
      <c r="G19" s="218"/>
      <c r="H19" s="218"/>
      <c r="I19" s="218"/>
      <c r="J19" s="218"/>
      <c r="K19" s="219"/>
      <c r="L19" s="218"/>
      <c r="M19" s="218"/>
      <c r="N19" s="218"/>
      <c r="O19" s="218"/>
      <c r="P19" s="218"/>
      <c r="Q19" s="220"/>
      <c r="R19" s="218"/>
      <c r="S19" s="218"/>
      <c r="T19" s="218"/>
      <c r="U19" s="218"/>
      <c r="V19" s="218"/>
      <c r="W19" s="221"/>
      <c r="X19" s="218"/>
      <c r="Y19" s="218"/>
      <c r="Z19" s="218"/>
      <c r="AA19" s="218"/>
      <c r="AB19" s="218"/>
      <c r="AC19" s="220"/>
      <c r="AD19" s="218"/>
      <c r="AE19" s="218"/>
      <c r="AF19" s="218"/>
      <c r="AG19" s="218"/>
      <c r="AH19" s="218"/>
      <c r="AI19" s="221"/>
      <c r="AJ19" s="218"/>
      <c r="AK19" s="218"/>
      <c r="AL19" s="218"/>
      <c r="AM19" s="218"/>
      <c r="AN19" s="218"/>
      <c r="AO19" s="220"/>
      <c r="AP19" s="218"/>
      <c r="AQ19" s="218"/>
      <c r="AR19" s="218"/>
      <c r="AS19" s="218"/>
      <c r="AT19" s="218"/>
      <c r="AU19" s="221"/>
      <c r="AV19" s="218"/>
      <c r="AW19" s="218"/>
      <c r="AX19" s="218"/>
      <c r="AY19" s="218"/>
      <c r="AZ19" s="218"/>
      <c r="BA19" s="220"/>
      <c r="BB19" s="218"/>
      <c r="BC19" s="218"/>
      <c r="BD19" s="218"/>
      <c r="BE19" s="218"/>
      <c r="BF19" s="218"/>
      <c r="BG19" s="221"/>
      <c r="BH19" s="218"/>
      <c r="BI19" s="218"/>
      <c r="BJ19" s="218"/>
      <c r="BK19" s="218"/>
      <c r="BL19" s="218"/>
      <c r="BM19" s="222"/>
      <c r="BN19" s="217"/>
      <c r="BO19" s="218"/>
      <c r="BP19" s="218"/>
      <c r="BQ19" s="218"/>
      <c r="BR19" s="218"/>
      <c r="BS19" s="219"/>
      <c r="BT19" s="218"/>
      <c r="BU19" s="218"/>
      <c r="BV19" s="218"/>
      <c r="BW19" s="218"/>
      <c r="BX19" s="218"/>
      <c r="BY19" s="220"/>
      <c r="BZ19" s="218"/>
      <c r="CA19" s="218"/>
      <c r="CB19" s="218"/>
      <c r="CC19" s="218"/>
      <c r="CD19" s="218"/>
      <c r="CE19" s="221"/>
      <c r="CF19" s="218"/>
      <c r="CG19" s="218"/>
      <c r="CH19" s="218"/>
      <c r="CI19" s="218"/>
      <c r="CJ19" s="218"/>
      <c r="CK19" s="220"/>
      <c r="CL19" s="218"/>
      <c r="CM19" s="218"/>
      <c r="CN19" s="218"/>
      <c r="CO19" s="218"/>
      <c r="CP19" s="218"/>
      <c r="CQ19" s="221"/>
      <c r="CR19" s="218"/>
      <c r="CS19" s="218"/>
      <c r="CT19" s="218"/>
      <c r="CU19" s="218"/>
      <c r="CV19" s="218"/>
      <c r="CW19" s="220"/>
      <c r="CX19" s="218"/>
      <c r="CY19" s="218"/>
      <c r="CZ19" s="218"/>
      <c r="DA19" s="218"/>
      <c r="DB19" s="218"/>
      <c r="DC19" s="221"/>
      <c r="DD19" s="218"/>
      <c r="DE19" s="218"/>
      <c r="DF19" s="218"/>
      <c r="DG19" s="218"/>
      <c r="DH19" s="218"/>
      <c r="DI19" s="220"/>
      <c r="DJ19" s="218"/>
      <c r="DK19" s="218"/>
      <c r="DL19" s="218"/>
      <c r="DM19" s="218"/>
      <c r="DN19" s="218"/>
      <c r="DO19" s="221"/>
      <c r="DP19" s="218"/>
      <c r="DQ19" s="218"/>
      <c r="DR19" s="218"/>
      <c r="DS19" s="218"/>
      <c r="DT19" s="218"/>
      <c r="DU19" s="222"/>
      <c r="DV19" s="217"/>
      <c r="DW19" s="218"/>
      <c r="DX19" s="218"/>
      <c r="DY19" s="218"/>
      <c r="DZ19" s="218"/>
      <c r="EA19" s="219"/>
      <c r="EB19" s="218"/>
      <c r="EC19" s="218"/>
      <c r="ED19" s="218"/>
      <c r="EE19" s="218"/>
      <c r="EF19" s="218"/>
      <c r="EG19" s="220"/>
      <c r="EH19" s="224"/>
      <c r="EI19" s="224"/>
      <c r="EJ19" s="224"/>
      <c r="EK19" s="224"/>
      <c r="EL19" s="224"/>
      <c r="EM19" s="230"/>
      <c r="EN19" s="224"/>
      <c r="EO19" s="224"/>
      <c r="EP19" s="224"/>
      <c r="EQ19" s="224"/>
      <c r="ER19" s="224"/>
      <c r="ES19" s="229"/>
      <c r="ET19" s="224"/>
      <c r="EU19" s="224"/>
      <c r="EV19" s="224"/>
      <c r="EW19" s="224"/>
      <c r="EX19" s="224"/>
      <c r="EY19" s="230"/>
      <c r="EZ19" s="224"/>
      <c r="FA19" s="224"/>
      <c r="FB19" s="224"/>
      <c r="FC19" s="224"/>
      <c r="FD19" s="224"/>
      <c r="FE19" s="229"/>
      <c r="FF19" s="218"/>
      <c r="FG19" s="218"/>
      <c r="FH19" s="218"/>
      <c r="FI19" s="218"/>
      <c r="FJ19" s="218"/>
      <c r="FK19" s="221"/>
      <c r="FL19" s="218"/>
      <c r="FM19" s="218"/>
      <c r="FN19" s="218"/>
      <c r="FO19" s="218"/>
      <c r="FP19" s="218"/>
      <c r="FQ19" s="220"/>
      <c r="FR19" s="218"/>
      <c r="FS19" s="218"/>
      <c r="FT19" s="218"/>
      <c r="FU19" s="218"/>
      <c r="FV19" s="218"/>
      <c r="FW19" s="221"/>
      <c r="FX19" s="218"/>
      <c r="FY19" s="218"/>
      <c r="FZ19" s="218"/>
      <c r="GA19" s="218"/>
      <c r="GB19" s="218"/>
      <c r="GC19" s="222"/>
      <c r="GD19" s="217"/>
      <c r="GE19" s="218"/>
      <c r="GF19" s="218"/>
      <c r="GG19" s="218"/>
      <c r="GH19" s="218"/>
      <c r="GI19" s="219"/>
      <c r="GJ19" s="218"/>
      <c r="GK19" s="218"/>
      <c r="GL19" s="218"/>
      <c r="GM19" s="218"/>
      <c r="GN19" s="218"/>
      <c r="GO19" s="220"/>
      <c r="GP19" s="218"/>
      <c r="GQ19" s="218"/>
      <c r="GR19" s="218"/>
      <c r="GS19" s="218"/>
      <c r="GT19" s="218"/>
      <c r="GU19" s="221"/>
      <c r="GV19" s="218"/>
      <c r="GW19" s="218"/>
      <c r="GX19" s="218"/>
      <c r="GY19" s="218"/>
      <c r="GZ19" s="218"/>
      <c r="HA19" s="220"/>
      <c r="HB19" s="218"/>
      <c r="HC19" s="218"/>
      <c r="HD19" s="218"/>
      <c r="HE19" s="218"/>
      <c r="HF19" s="218"/>
      <c r="HG19" s="221"/>
      <c r="HH19" s="218"/>
      <c r="HI19" s="218"/>
      <c r="HJ19" s="218"/>
      <c r="HK19" s="218"/>
      <c r="HL19" s="218"/>
      <c r="HM19" s="220"/>
      <c r="HN19" s="218"/>
      <c r="HO19" s="218"/>
      <c r="HP19" s="218"/>
      <c r="HQ19" s="218"/>
      <c r="HR19" s="218"/>
      <c r="HS19" s="221"/>
      <c r="HT19" s="218"/>
      <c r="HU19" s="218"/>
      <c r="HV19" s="218"/>
      <c r="HW19" s="218"/>
      <c r="HX19" s="218"/>
      <c r="HY19" s="220"/>
      <c r="HZ19" s="218"/>
      <c r="IA19" s="218"/>
      <c r="IB19" s="218"/>
      <c r="IC19" s="218"/>
      <c r="ID19" s="218"/>
      <c r="IE19" s="221"/>
      <c r="IF19" s="218"/>
      <c r="IG19" s="218"/>
      <c r="IH19" s="218"/>
      <c r="II19" s="218"/>
      <c r="IJ19" s="218"/>
      <c r="IK19" s="222"/>
      <c r="IL19" s="217"/>
      <c r="IM19" s="218"/>
      <c r="IN19" s="218"/>
      <c r="IO19" s="218"/>
      <c r="IP19" s="218"/>
      <c r="IQ19" s="219"/>
      <c r="IR19" s="218"/>
      <c r="IS19" s="218"/>
      <c r="IT19" s="218"/>
      <c r="IU19" s="218"/>
      <c r="IV19" s="218"/>
      <c r="IW19" s="220"/>
      <c r="IX19" s="218"/>
      <c r="IY19" s="218"/>
      <c r="IZ19" s="218"/>
      <c r="JA19" s="218"/>
      <c r="JB19" s="218"/>
      <c r="JC19" s="221"/>
      <c r="JD19" s="218"/>
      <c r="JE19" s="218"/>
      <c r="JF19" s="218"/>
      <c r="JG19" s="218"/>
      <c r="JH19" s="218"/>
      <c r="JI19" s="220"/>
      <c r="JJ19" s="218"/>
      <c r="JK19" s="218"/>
      <c r="JL19" s="218"/>
      <c r="JM19" s="218"/>
      <c r="JN19" s="218"/>
      <c r="JO19" s="221"/>
      <c r="JP19" s="218"/>
      <c r="JQ19" s="218"/>
      <c r="JR19" s="218"/>
      <c r="JS19" s="218"/>
      <c r="JT19" s="218"/>
      <c r="JU19" s="220"/>
      <c r="JV19" s="218"/>
      <c r="JW19" s="218"/>
      <c r="JX19" s="218"/>
      <c r="JY19" s="218"/>
      <c r="JZ19" s="218"/>
      <c r="KA19" s="221"/>
      <c r="KB19" s="218"/>
      <c r="KC19" s="218"/>
      <c r="KD19" s="218"/>
      <c r="KE19" s="218"/>
      <c r="KF19" s="218"/>
      <c r="KG19" s="220"/>
      <c r="KH19" s="218"/>
      <c r="KI19" s="218"/>
      <c r="KJ19" s="218"/>
      <c r="KK19" s="218"/>
      <c r="KL19" s="218"/>
      <c r="KM19" s="221"/>
      <c r="KN19" s="218"/>
      <c r="KO19" s="218"/>
      <c r="KP19" s="218"/>
      <c r="KQ19" s="218"/>
      <c r="KR19" s="218"/>
      <c r="KS19" s="222"/>
      <c r="KT19" s="217"/>
      <c r="KU19" s="218"/>
      <c r="KV19" s="218"/>
      <c r="KW19" s="218"/>
      <c r="KX19" s="218"/>
      <c r="KY19" s="219"/>
      <c r="KZ19" s="218"/>
      <c r="LA19" s="218"/>
      <c r="LB19" s="218"/>
      <c r="LC19" s="218"/>
      <c r="LD19" s="218"/>
      <c r="LE19" s="220"/>
      <c r="LF19" s="218"/>
      <c r="LG19" s="218"/>
      <c r="LH19" s="218"/>
      <c r="LI19" s="218"/>
      <c r="LJ19" s="218"/>
      <c r="LK19" s="221"/>
      <c r="LL19" s="218"/>
      <c r="LM19" s="218"/>
      <c r="LN19" s="218"/>
      <c r="LO19" s="218"/>
      <c r="LP19" s="218"/>
      <c r="LQ19" s="220"/>
      <c r="LR19" s="218"/>
      <c r="LS19" s="218"/>
      <c r="LT19" s="218"/>
      <c r="LU19" s="218"/>
      <c r="LV19" s="218"/>
      <c r="LW19" s="221"/>
      <c r="LX19" s="218"/>
      <c r="LY19" s="218"/>
      <c r="LZ19" s="218"/>
      <c r="MA19" s="218"/>
      <c r="MB19" s="218"/>
      <c r="MC19" s="220"/>
      <c r="MD19" s="218"/>
      <c r="ME19" s="218"/>
      <c r="MF19" s="218"/>
      <c r="MG19" s="218"/>
      <c r="MH19" s="218"/>
      <c r="MI19" s="221"/>
      <c r="MJ19" s="218"/>
      <c r="MK19" s="218"/>
      <c r="ML19" s="218"/>
      <c r="MM19" s="218"/>
      <c r="MN19" s="218"/>
      <c r="MO19" s="220"/>
      <c r="MP19" s="218"/>
      <c r="MQ19" s="218"/>
      <c r="MR19" s="218"/>
      <c r="MS19" s="218"/>
      <c r="MT19" s="218"/>
      <c r="MU19" s="221"/>
      <c r="MV19" s="218"/>
      <c r="MW19" s="218"/>
      <c r="MX19" s="218"/>
      <c r="MY19" s="218"/>
      <c r="MZ19" s="218"/>
      <c r="NA19" s="222"/>
      <c r="NB19" s="217"/>
      <c r="NC19" s="218"/>
      <c r="ND19" s="218"/>
      <c r="NE19" s="218"/>
      <c r="NF19" s="218"/>
      <c r="NG19" s="219"/>
      <c r="NH19" s="218"/>
      <c r="NI19" s="218"/>
      <c r="NJ19" s="218"/>
      <c r="NK19" s="218"/>
      <c r="NL19" s="218"/>
      <c r="NM19" s="220"/>
      <c r="NN19" s="218"/>
      <c r="NO19" s="218"/>
      <c r="NP19" s="218"/>
      <c r="NQ19" s="218"/>
      <c r="NR19" s="218"/>
      <c r="NS19" s="221"/>
      <c r="NT19" s="218"/>
      <c r="NU19" s="218"/>
      <c r="NV19" s="218"/>
      <c r="NW19" s="218"/>
      <c r="NX19" s="218"/>
      <c r="NY19" s="220"/>
      <c r="NZ19" s="218"/>
      <c r="OA19" s="218"/>
      <c r="OB19" s="218"/>
      <c r="OC19" s="218"/>
      <c r="OD19" s="218"/>
      <c r="OE19" s="221"/>
      <c r="OF19" s="218"/>
      <c r="OG19" s="218"/>
      <c r="OH19" s="218"/>
      <c r="OI19" s="218"/>
      <c r="OJ19" s="218"/>
      <c r="OK19" s="220"/>
      <c r="OL19" s="218"/>
      <c r="OM19" s="218"/>
      <c r="ON19" s="218"/>
      <c r="OO19" s="218"/>
      <c r="OP19" s="218"/>
      <c r="OQ19" s="221"/>
      <c r="OR19" s="218"/>
      <c r="OS19" s="218"/>
      <c r="OT19" s="218"/>
      <c r="OU19" s="218"/>
      <c r="OV19" s="218"/>
      <c r="OW19" s="220"/>
      <c r="OX19" s="218"/>
      <c r="OY19" s="218"/>
      <c r="OZ19" s="218"/>
      <c r="PA19" s="218"/>
      <c r="PB19" s="218"/>
      <c r="PC19" s="221"/>
      <c r="PD19" s="218"/>
      <c r="PE19" s="218"/>
      <c r="PF19" s="218"/>
      <c r="PG19" s="218"/>
      <c r="PH19" s="218"/>
      <c r="PI19" s="222"/>
      <c r="PJ19" s="217"/>
      <c r="PK19" s="218"/>
      <c r="PL19" s="218"/>
      <c r="PM19" s="218"/>
      <c r="PN19" s="218"/>
      <c r="PO19" s="219"/>
      <c r="PP19" s="218"/>
      <c r="PQ19" s="218"/>
      <c r="PR19" s="218"/>
      <c r="PS19" s="218"/>
      <c r="PT19" s="218"/>
      <c r="PU19" s="220"/>
      <c r="PV19" s="218"/>
      <c r="PW19" s="218"/>
      <c r="PX19" s="218"/>
      <c r="PY19" s="218"/>
      <c r="PZ19" s="218"/>
      <c r="QA19" s="221"/>
      <c r="QB19" s="218"/>
      <c r="QC19" s="218"/>
      <c r="QD19" s="218"/>
      <c r="QE19" s="218"/>
      <c r="QF19" s="218"/>
      <c r="QG19" s="220"/>
      <c r="QH19" s="218"/>
      <c r="QI19" s="218"/>
      <c r="QJ19" s="218"/>
      <c r="QK19" s="218"/>
      <c r="QL19" s="218"/>
      <c r="QM19" s="221"/>
      <c r="QN19" s="218"/>
      <c r="QO19" s="218"/>
      <c r="QP19" s="218"/>
      <c r="QQ19" s="218"/>
      <c r="QR19" s="218"/>
      <c r="QS19" s="220"/>
      <c r="QT19" s="218"/>
      <c r="QU19" s="218"/>
      <c r="QV19" s="218"/>
      <c r="QW19" s="218"/>
      <c r="QX19" s="218"/>
      <c r="QY19" s="221"/>
      <c r="QZ19" s="218"/>
      <c r="RA19" s="218"/>
      <c r="RB19" s="218"/>
      <c r="RC19" s="218"/>
      <c r="RD19" s="218"/>
      <c r="RE19" s="220"/>
      <c r="RF19" s="218"/>
      <c r="RG19" s="218"/>
      <c r="RH19" s="218"/>
      <c r="RI19" s="218"/>
      <c r="RJ19" s="218"/>
      <c r="RK19" s="221"/>
      <c r="RL19" s="218"/>
      <c r="RM19" s="218"/>
      <c r="RN19" s="218"/>
      <c r="RO19" s="218"/>
      <c r="RP19" s="218"/>
      <c r="RQ19" s="222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73"/>
    </row>
    <row r="20" spans="1:1326" ht="20.100000000000001" customHeight="1" x14ac:dyDescent="0.25">
      <c r="A20" s="78" t="s">
        <v>27</v>
      </c>
      <c r="B20" s="51" t="str">
        <f>IF(LEN(C25)=0,"",C25)</f>
        <v>Backend - CRUD quotes</v>
      </c>
      <c r="C20" s="164"/>
      <c r="D20" s="120" t="str">
        <f t="shared" si="0"/>
        <v>90h</v>
      </c>
      <c r="E20" s="22">
        <v>1080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24"/>
      <c r="Z20" s="24"/>
      <c r="AA20" s="24"/>
      <c r="AB20" s="24"/>
      <c r="AC20" s="109"/>
      <c r="AD20" s="24"/>
      <c r="AE20" s="24"/>
      <c r="AF20" s="24"/>
      <c r="AG20" s="24"/>
      <c r="AH20" s="24"/>
      <c r="AI20" s="58"/>
      <c r="AJ20" s="24"/>
      <c r="AK20" s="24"/>
      <c r="AL20" s="24"/>
      <c r="AM20" s="24"/>
      <c r="AN20" s="24"/>
      <c r="AO20" s="109"/>
      <c r="AP20" s="24"/>
      <c r="AQ20" s="24"/>
      <c r="AR20" s="24"/>
      <c r="AS20" s="24"/>
      <c r="AT20" s="32"/>
      <c r="AU20" s="58"/>
      <c r="AV20" s="24"/>
      <c r="AW20" s="24"/>
      <c r="AX20" s="24"/>
      <c r="AY20" s="24"/>
      <c r="AZ20" s="24"/>
      <c r="BA20" s="10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04"/>
      <c r="BT20" s="24"/>
      <c r="BU20" s="24"/>
      <c r="BV20" s="24"/>
      <c r="BW20" s="24"/>
      <c r="BX20" s="24"/>
      <c r="BY20" s="109"/>
      <c r="BZ20" s="24"/>
      <c r="CA20" s="24"/>
      <c r="CB20" s="24"/>
      <c r="CC20" s="24"/>
      <c r="CD20" s="24"/>
      <c r="CE20" s="58"/>
      <c r="CF20" s="24"/>
      <c r="CG20" s="24"/>
      <c r="CH20" s="24"/>
      <c r="CI20" s="24"/>
      <c r="CJ20" s="24"/>
      <c r="CK20" s="109"/>
      <c r="CL20" s="24"/>
      <c r="CM20" s="24"/>
      <c r="CN20" s="24"/>
      <c r="CO20" s="24"/>
      <c r="CP20" s="24"/>
      <c r="CQ20" s="58"/>
      <c r="CR20" s="24"/>
      <c r="CS20" s="24"/>
      <c r="CT20" s="24"/>
      <c r="CU20" s="24"/>
      <c r="CV20" s="24"/>
      <c r="CW20" s="109"/>
      <c r="CX20" s="24"/>
      <c r="CY20" s="24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73"/>
    </row>
    <row r="21" spans="1:1326" ht="20.100000000000001" customHeight="1" x14ac:dyDescent="0.25">
      <c r="A21" s="78" t="s">
        <v>26</v>
      </c>
      <c r="B21" s="51" t="str">
        <f>IF(LEN(C27)=0,"",C27)</f>
        <v>Backend - Détails/revue et finalistations</v>
      </c>
      <c r="C21" s="163" t="s">
        <v>28</v>
      </c>
      <c r="D21" s="119" t="str">
        <f t="shared" si="0"/>
        <v>92h 45 min</v>
      </c>
      <c r="E21" s="26">
        <v>1113</v>
      </c>
      <c r="F21" s="211"/>
      <c r="G21" s="212"/>
      <c r="H21" s="212"/>
      <c r="I21" s="212"/>
      <c r="J21" s="212"/>
      <c r="K21" s="213"/>
      <c r="L21" s="212"/>
      <c r="M21" s="212"/>
      <c r="N21" s="212"/>
      <c r="O21" s="212"/>
      <c r="P21" s="212"/>
      <c r="Q21" s="214"/>
      <c r="R21" s="212"/>
      <c r="S21" s="212"/>
      <c r="T21" s="212"/>
      <c r="U21" s="212"/>
      <c r="V21" s="212"/>
      <c r="W21" s="215"/>
      <c r="X21" s="212"/>
      <c r="Y21" s="212"/>
      <c r="Z21" s="212"/>
      <c r="AA21" s="212"/>
      <c r="AB21" s="212"/>
      <c r="AC21" s="214"/>
      <c r="AD21" s="226"/>
      <c r="AE21" s="226"/>
      <c r="AF21" s="226"/>
      <c r="AG21" s="226"/>
      <c r="AH21" s="226"/>
      <c r="AI21" s="228"/>
      <c r="AJ21" s="226"/>
      <c r="AK21" s="226"/>
      <c r="AL21" s="226"/>
      <c r="AM21" s="226"/>
      <c r="AN21" s="226"/>
      <c r="AO21" s="227"/>
      <c r="AP21" s="212"/>
      <c r="AQ21" s="212"/>
      <c r="AR21" s="212"/>
      <c r="AS21" s="212"/>
      <c r="AT21" s="212"/>
      <c r="AU21" s="215"/>
      <c r="AV21" s="212"/>
      <c r="AW21" s="212"/>
      <c r="AX21" s="212"/>
      <c r="AY21" s="212"/>
      <c r="AZ21" s="212"/>
      <c r="BA21" s="214"/>
      <c r="BB21" s="212"/>
      <c r="BC21" s="212"/>
      <c r="BD21" s="212"/>
      <c r="BE21" s="212"/>
      <c r="BF21" s="212"/>
      <c r="BG21" s="215"/>
      <c r="BH21" s="212"/>
      <c r="BI21" s="212"/>
      <c r="BJ21" s="212"/>
      <c r="BK21" s="212"/>
      <c r="BL21" s="212"/>
      <c r="BM21" s="216"/>
      <c r="BN21" s="231"/>
      <c r="BO21" s="226"/>
      <c r="BP21" s="226"/>
      <c r="BQ21" s="226"/>
      <c r="BR21" s="226"/>
      <c r="BS21" s="232"/>
      <c r="BT21" s="226"/>
      <c r="BU21" s="226"/>
      <c r="BV21" s="226"/>
      <c r="BW21" s="226"/>
      <c r="BX21" s="226"/>
      <c r="BY21" s="227"/>
      <c r="BZ21" s="226"/>
      <c r="CA21" s="226"/>
      <c r="CB21" s="226"/>
      <c r="CC21" s="226"/>
      <c r="CD21" s="226"/>
      <c r="CE21" s="228"/>
      <c r="CF21" s="226"/>
      <c r="CG21" s="226"/>
      <c r="CH21" s="226"/>
      <c r="CI21" s="212"/>
      <c r="CJ21" s="212"/>
      <c r="CK21" s="214"/>
      <c r="CL21" s="212"/>
      <c r="CM21" s="212"/>
      <c r="CN21" s="212"/>
      <c r="CO21" s="212"/>
      <c r="CP21" s="212"/>
      <c r="CQ21" s="215"/>
      <c r="CR21" s="212"/>
      <c r="CS21" s="212"/>
      <c r="CT21" s="212"/>
      <c r="CU21" s="212"/>
      <c r="CV21" s="212"/>
      <c r="CW21" s="214"/>
      <c r="CX21" s="212"/>
      <c r="CY21" s="212"/>
      <c r="CZ21" s="212"/>
      <c r="DA21" s="212"/>
      <c r="DB21" s="212"/>
      <c r="DC21" s="215"/>
      <c r="DD21" s="212"/>
      <c r="DE21" s="212"/>
      <c r="DF21" s="212"/>
      <c r="DG21" s="212"/>
      <c r="DH21" s="212"/>
      <c r="DI21" s="214"/>
      <c r="DJ21" s="212"/>
      <c r="DK21" s="212"/>
      <c r="DL21" s="212"/>
      <c r="DM21" s="212"/>
      <c r="DN21" s="212"/>
      <c r="DO21" s="215"/>
      <c r="DP21" s="212"/>
      <c r="DQ21" s="212"/>
      <c r="DR21" s="212"/>
      <c r="DS21" s="212"/>
      <c r="DT21" s="212"/>
      <c r="DU21" s="216"/>
      <c r="DV21" s="211"/>
      <c r="DW21" s="212"/>
      <c r="DX21" s="212"/>
      <c r="DY21" s="212"/>
      <c r="DZ21" s="212"/>
      <c r="EA21" s="213"/>
      <c r="EB21" s="212"/>
      <c r="EC21" s="212"/>
      <c r="ED21" s="212"/>
      <c r="EE21" s="212"/>
      <c r="EF21" s="212"/>
      <c r="EG21" s="214"/>
      <c r="EH21" s="212"/>
      <c r="EI21" s="212"/>
      <c r="EJ21" s="212"/>
      <c r="EK21" s="212"/>
      <c r="EL21" s="212"/>
      <c r="EM21" s="215"/>
      <c r="EN21" s="212"/>
      <c r="EO21" s="212"/>
      <c r="EP21" s="212"/>
      <c r="EQ21" s="212"/>
      <c r="ER21" s="212"/>
      <c r="ES21" s="214"/>
      <c r="ET21" s="212"/>
      <c r="EU21" s="212"/>
      <c r="EV21" s="212"/>
      <c r="EW21" s="212"/>
      <c r="EX21" s="212"/>
      <c r="EY21" s="215"/>
      <c r="EZ21" s="212"/>
      <c r="FA21" s="212"/>
      <c r="FB21" s="212"/>
      <c r="FC21" s="212"/>
      <c r="FD21" s="212"/>
      <c r="FE21" s="214"/>
      <c r="FF21" s="212"/>
      <c r="FG21" s="212"/>
      <c r="FH21" s="212"/>
      <c r="FI21" s="212"/>
      <c r="FJ21" s="212"/>
      <c r="FK21" s="215"/>
      <c r="FL21" s="212"/>
      <c r="FM21" s="212"/>
      <c r="FN21" s="212"/>
      <c r="FO21" s="212"/>
      <c r="FP21" s="212"/>
      <c r="FQ21" s="214"/>
      <c r="FR21" s="212"/>
      <c r="FS21" s="212"/>
      <c r="FT21" s="212"/>
      <c r="FU21" s="212"/>
      <c r="FV21" s="212"/>
      <c r="FW21" s="215"/>
      <c r="FX21" s="212"/>
      <c r="FY21" s="212"/>
      <c r="FZ21" s="212"/>
      <c r="GA21" s="212"/>
      <c r="GB21" s="212"/>
      <c r="GC21" s="216"/>
      <c r="GD21" s="211"/>
      <c r="GE21" s="212"/>
      <c r="GF21" s="212"/>
      <c r="GG21" s="212"/>
      <c r="GH21" s="212"/>
      <c r="GI21" s="213"/>
      <c r="GJ21" s="212"/>
      <c r="GK21" s="212"/>
      <c r="GL21" s="212"/>
      <c r="GM21" s="212"/>
      <c r="GN21" s="212"/>
      <c r="GO21" s="214"/>
      <c r="GP21" s="212"/>
      <c r="GQ21" s="212"/>
      <c r="GR21" s="212"/>
      <c r="GS21" s="212"/>
      <c r="GT21" s="212"/>
      <c r="GU21" s="215"/>
      <c r="GV21" s="212"/>
      <c r="GW21" s="212"/>
      <c r="GX21" s="212"/>
      <c r="GY21" s="212"/>
      <c r="GZ21" s="212"/>
      <c r="HA21" s="214"/>
      <c r="HB21" s="212"/>
      <c r="HC21" s="212"/>
      <c r="HD21" s="212"/>
      <c r="HE21" s="212"/>
      <c r="HF21" s="212"/>
      <c r="HG21" s="215"/>
      <c r="HH21" s="212"/>
      <c r="HI21" s="212"/>
      <c r="HJ21" s="212"/>
      <c r="HK21" s="212"/>
      <c r="HL21" s="212"/>
      <c r="HM21" s="214"/>
      <c r="HN21" s="212"/>
      <c r="HO21" s="212"/>
      <c r="HP21" s="212"/>
      <c r="HQ21" s="212"/>
      <c r="HR21" s="212"/>
      <c r="HS21" s="215"/>
      <c r="HT21" s="212"/>
      <c r="HU21" s="212"/>
      <c r="HV21" s="212"/>
      <c r="HW21" s="212"/>
      <c r="HX21" s="212"/>
      <c r="HY21" s="214"/>
      <c r="HZ21" s="212"/>
      <c r="IA21" s="212"/>
      <c r="IB21" s="212"/>
      <c r="IC21" s="212"/>
      <c r="ID21" s="212"/>
      <c r="IE21" s="215"/>
      <c r="IF21" s="212"/>
      <c r="IG21" s="212"/>
      <c r="IH21" s="212"/>
      <c r="II21" s="212"/>
      <c r="IJ21" s="212"/>
      <c r="IK21" s="216"/>
      <c r="IL21" s="211"/>
      <c r="IM21" s="212"/>
      <c r="IN21" s="212"/>
      <c r="IO21" s="212"/>
      <c r="IP21" s="212"/>
      <c r="IQ21" s="213"/>
      <c r="IR21" s="212"/>
      <c r="IS21" s="212"/>
      <c r="IT21" s="212"/>
      <c r="IU21" s="212"/>
      <c r="IV21" s="212"/>
      <c r="IW21" s="214"/>
      <c r="IX21" s="212"/>
      <c r="IY21" s="212"/>
      <c r="IZ21" s="212"/>
      <c r="JA21" s="212"/>
      <c r="JB21" s="212"/>
      <c r="JC21" s="215"/>
      <c r="JD21" s="212"/>
      <c r="JE21" s="212"/>
      <c r="JF21" s="212"/>
      <c r="JG21" s="212"/>
      <c r="JH21" s="212"/>
      <c r="JI21" s="214"/>
      <c r="JJ21" s="212"/>
      <c r="JK21" s="212"/>
      <c r="JL21" s="212"/>
      <c r="JM21" s="212"/>
      <c r="JN21" s="212"/>
      <c r="JO21" s="215"/>
      <c r="JP21" s="212"/>
      <c r="JQ21" s="212"/>
      <c r="JR21" s="212"/>
      <c r="JS21" s="212"/>
      <c r="JT21" s="212"/>
      <c r="JU21" s="214"/>
      <c r="JV21" s="212"/>
      <c r="JW21" s="212"/>
      <c r="JX21" s="212"/>
      <c r="JY21" s="212"/>
      <c r="JZ21" s="212"/>
      <c r="KA21" s="215"/>
      <c r="KB21" s="212"/>
      <c r="KC21" s="212"/>
      <c r="KD21" s="212"/>
      <c r="KE21" s="212"/>
      <c r="KF21" s="212"/>
      <c r="KG21" s="214"/>
      <c r="KH21" s="212"/>
      <c r="KI21" s="212"/>
      <c r="KJ21" s="212"/>
      <c r="KK21" s="212"/>
      <c r="KL21" s="212"/>
      <c r="KM21" s="215"/>
      <c r="KN21" s="212"/>
      <c r="KO21" s="212"/>
      <c r="KP21" s="212"/>
      <c r="KQ21" s="212"/>
      <c r="KR21" s="212"/>
      <c r="KS21" s="216"/>
      <c r="KT21" s="211"/>
      <c r="KU21" s="212"/>
      <c r="KV21" s="212"/>
      <c r="KW21" s="212"/>
      <c r="KX21" s="212"/>
      <c r="KY21" s="213"/>
      <c r="KZ21" s="212"/>
      <c r="LA21" s="212"/>
      <c r="LB21" s="212"/>
      <c r="LC21" s="212"/>
      <c r="LD21" s="212"/>
      <c r="LE21" s="214"/>
      <c r="LF21" s="212"/>
      <c r="LG21" s="212"/>
      <c r="LH21" s="212"/>
      <c r="LI21" s="212"/>
      <c r="LJ21" s="212"/>
      <c r="LK21" s="215"/>
      <c r="LL21" s="212"/>
      <c r="LM21" s="212"/>
      <c r="LN21" s="212"/>
      <c r="LO21" s="212"/>
      <c r="LP21" s="212"/>
      <c r="LQ21" s="214"/>
      <c r="LR21" s="212"/>
      <c r="LS21" s="212"/>
      <c r="LT21" s="212"/>
      <c r="LU21" s="212"/>
      <c r="LV21" s="212"/>
      <c r="LW21" s="215"/>
      <c r="LX21" s="212"/>
      <c r="LY21" s="212"/>
      <c r="LZ21" s="212"/>
      <c r="MA21" s="212"/>
      <c r="MB21" s="212"/>
      <c r="MC21" s="214"/>
      <c r="MD21" s="212"/>
      <c r="ME21" s="212"/>
      <c r="MF21" s="212"/>
      <c r="MG21" s="212"/>
      <c r="MH21" s="212"/>
      <c r="MI21" s="215"/>
      <c r="MJ21" s="212"/>
      <c r="MK21" s="212"/>
      <c r="ML21" s="212"/>
      <c r="MM21" s="212"/>
      <c r="MN21" s="212"/>
      <c r="MO21" s="214"/>
      <c r="MP21" s="212"/>
      <c r="MQ21" s="212"/>
      <c r="MR21" s="212"/>
      <c r="MS21" s="212"/>
      <c r="MT21" s="212"/>
      <c r="MU21" s="215"/>
      <c r="MV21" s="212"/>
      <c r="MW21" s="212"/>
      <c r="MX21" s="212"/>
      <c r="MY21" s="212"/>
      <c r="MZ21" s="212"/>
      <c r="NA21" s="216"/>
      <c r="NB21" s="211"/>
      <c r="NC21" s="212"/>
      <c r="ND21" s="212"/>
      <c r="NE21" s="212"/>
      <c r="NF21" s="212"/>
      <c r="NG21" s="213"/>
      <c r="NH21" s="212"/>
      <c r="NI21" s="212"/>
      <c r="NJ21" s="212"/>
      <c r="NK21" s="212"/>
      <c r="NL21" s="212"/>
      <c r="NM21" s="214"/>
      <c r="NN21" s="212"/>
      <c r="NO21" s="212"/>
      <c r="NP21" s="212"/>
      <c r="NQ21" s="212"/>
      <c r="NR21" s="212"/>
      <c r="NS21" s="215"/>
      <c r="NT21" s="212"/>
      <c r="NU21" s="212"/>
      <c r="NV21" s="212"/>
      <c r="NW21" s="212"/>
      <c r="NX21" s="212"/>
      <c r="NY21" s="214"/>
      <c r="NZ21" s="212"/>
      <c r="OA21" s="212"/>
      <c r="OB21" s="212"/>
      <c r="OC21" s="212"/>
      <c r="OD21" s="212"/>
      <c r="OE21" s="215"/>
      <c r="OF21" s="212"/>
      <c r="OG21" s="212"/>
      <c r="OH21" s="212"/>
      <c r="OI21" s="212"/>
      <c r="OJ21" s="212"/>
      <c r="OK21" s="214"/>
      <c r="OL21" s="212"/>
      <c r="OM21" s="212"/>
      <c r="ON21" s="212"/>
      <c r="OO21" s="212"/>
      <c r="OP21" s="212"/>
      <c r="OQ21" s="215"/>
      <c r="OR21" s="212"/>
      <c r="OS21" s="212"/>
      <c r="OT21" s="212"/>
      <c r="OU21" s="212"/>
      <c r="OV21" s="212"/>
      <c r="OW21" s="214"/>
      <c r="OX21" s="212"/>
      <c r="OY21" s="212"/>
      <c r="OZ21" s="212"/>
      <c r="PA21" s="212"/>
      <c r="PB21" s="212"/>
      <c r="PC21" s="215"/>
      <c r="PD21" s="212"/>
      <c r="PE21" s="212"/>
      <c r="PF21" s="212"/>
      <c r="PG21" s="212"/>
      <c r="PH21" s="212"/>
      <c r="PI21" s="216"/>
      <c r="PJ21" s="211"/>
      <c r="PK21" s="212"/>
      <c r="PL21" s="212"/>
      <c r="PM21" s="212"/>
      <c r="PN21" s="212"/>
      <c r="PO21" s="213"/>
      <c r="PP21" s="212"/>
      <c r="PQ21" s="212"/>
      <c r="PR21" s="212"/>
      <c r="PS21" s="212"/>
      <c r="PT21" s="212"/>
      <c r="PU21" s="214"/>
      <c r="PV21" s="212"/>
      <c r="PW21" s="212"/>
      <c r="PX21" s="212"/>
      <c r="PY21" s="212"/>
      <c r="PZ21" s="212"/>
      <c r="QA21" s="215"/>
      <c r="QB21" s="212"/>
      <c r="QC21" s="212"/>
      <c r="QD21" s="212"/>
      <c r="QE21" s="212"/>
      <c r="QF21" s="212"/>
      <c r="QG21" s="214"/>
      <c r="QH21" s="212"/>
      <c r="QI21" s="212"/>
      <c r="QJ21" s="212"/>
      <c r="QK21" s="212"/>
      <c r="QL21" s="212"/>
      <c r="QM21" s="215"/>
      <c r="QN21" s="212"/>
      <c r="QO21" s="212"/>
      <c r="QP21" s="212"/>
      <c r="QQ21" s="212"/>
      <c r="QR21" s="212"/>
      <c r="QS21" s="214"/>
      <c r="QT21" s="212"/>
      <c r="QU21" s="212"/>
      <c r="QV21" s="212"/>
      <c r="QW21" s="212"/>
      <c r="QX21" s="212"/>
      <c r="QY21" s="215"/>
      <c r="QZ21" s="212"/>
      <c r="RA21" s="212"/>
      <c r="RB21" s="212"/>
      <c r="RC21" s="212"/>
      <c r="RD21" s="212"/>
      <c r="RE21" s="214"/>
      <c r="RF21" s="212"/>
      <c r="RG21" s="212"/>
      <c r="RH21" s="212"/>
      <c r="RI21" s="212"/>
      <c r="RJ21" s="212"/>
      <c r="RK21" s="215"/>
      <c r="RL21" s="212"/>
      <c r="RM21" s="212"/>
      <c r="RN21" s="212"/>
      <c r="RO21" s="212"/>
      <c r="RP21" s="212"/>
      <c r="RQ21" s="216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73"/>
    </row>
    <row r="22" spans="1:1326" ht="20.100000000000001" customHeight="1" x14ac:dyDescent="0.25">
      <c r="A22" s="78" t="s">
        <v>27</v>
      </c>
      <c r="B22" s="51" t="str">
        <f>IF(LEN(C29)=0,"",C29)</f>
        <v>Backend - Gestion auth/users</v>
      </c>
      <c r="C22" s="164"/>
      <c r="D22" s="120" t="str">
        <f t="shared" si="0"/>
        <v>90h</v>
      </c>
      <c r="E22" s="30">
        <v>1080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73"/>
    </row>
    <row r="23" spans="1:1326" ht="20.100000000000001" customHeight="1" x14ac:dyDescent="0.25">
      <c r="A23" s="78" t="s">
        <v>26</v>
      </c>
      <c r="B23" s="51" t="str">
        <f>IF(LEN(C31)=0,"",C31)</f>
        <v>Backend - gestion des erreurs</v>
      </c>
      <c r="C23" s="163" t="s">
        <v>50</v>
      </c>
      <c r="D23" s="119" t="str">
        <f t="shared" si="0"/>
        <v>91h 20 min</v>
      </c>
      <c r="E23" s="34">
        <v>1096</v>
      </c>
      <c r="F23" s="217"/>
      <c r="G23" s="218"/>
      <c r="H23" s="218"/>
      <c r="I23" s="218"/>
      <c r="J23" s="218"/>
      <c r="K23" s="219"/>
      <c r="L23" s="218"/>
      <c r="M23" s="218"/>
      <c r="N23" s="218"/>
      <c r="O23" s="218"/>
      <c r="P23" s="218"/>
      <c r="Q23" s="220"/>
      <c r="R23" s="218"/>
      <c r="S23" s="218"/>
      <c r="T23" s="218"/>
      <c r="U23" s="218"/>
      <c r="V23" s="218"/>
      <c r="W23" s="221"/>
      <c r="X23" s="218"/>
      <c r="Y23" s="218"/>
      <c r="Z23" s="218"/>
      <c r="AA23" s="218"/>
      <c r="AB23" s="218"/>
      <c r="AC23" s="220"/>
      <c r="AD23" s="218"/>
      <c r="AE23" s="218"/>
      <c r="AF23" s="218"/>
      <c r="AG23" s="218"/>
      <c r="AH23" s="218"/>
      <c r="AI23" s="221"/>
      <c r="AJ23" s="218"/>
      <c r="AK23" s="218"/>
      <c r="AL23" s="218"/>
      <c r="AM23" s="218"/>
      <c r="AN23" s="218"/>
      <c r="AO23" s="220"/>
      <c r="AP23" s="218"/>
      <c r="AQ23" s="218"/>
      <c r="AR23" s="218"/>
      <c r="AS23" s="218"/>
      <c r="AT23" s="218"/>
      <c r="AU23" s="221"/>
      <c r="AV23" s="218"/>
      <c r="AW23" s="218"/>
      <c r="AX23" s="218"/>
      <c r="AY23" s="218"/>
      <c r="AZ23" s="218"/>
      <c r="BA23" s="220"/>
      <c r="BB23" s="218"/>
      <c r="BC23" s="218"/>
      <c r="BD23" s="218"/>
      <c r="BE23" s="218"/>
      <c r="BF23" s="218"/>
      <c r="BG23" s="221"/>
      <c r="BH23" s="218"/>
      <c r="BI23" s="218"/>
      <c r="BJ23" s="218"/>
      <c r="BK23" s="218"/>
      <c r="BL23" s="218"/>
      <c r="BM23" s="222"/>
      <c r="BN23" s="217"/>
      <c r="BO23" s="218"/>
      <c r="BP23" s="218"/>
      <c r="BQ23" s="218"/>
      <c r="BR23" s="218"/>
      <c r="BS23" s="219"/>
      <c r="BT23" s="218"/>
      <c r="BU23" s="218"/>
      <c r="BV23" s="218"/>
      <c r="BW23" s="218"/>
      <c r="BX23" s="218"/>
      <c r="BY23" s="220"/>
      <c r="BZ23" s="218"/>
      <c r="CA23" s="218"/>
      <c r="CB23" s="218"/>
      <c r="CC23" s="218"/>
      <c r="CD23" s="218"/>
      <c r="CE23" s="221"/>
      <c r="CF23" s="218"/>
      <c r="CG23" s="218"/>
      <c r="CH23" s="218"/>
      <c r="CI23" s="218"/>
      <c r="CJ23" s="218"/>
      <c r="CK23" s="220"/>
      <c r="CL23" s="218"/>
      <c r="CM23" s="218"/>
      <c r="CN23" s="218"/>
      <c r="CO23" s="218"/>
      <c r="CP23" s="218"/>
      <c r="CQ23" s="221"/>
      <c r="CR23" s="218"/>
      <c r="CS23" s="218"/>
      <c r="CT23" s="218"/>
      <c r="CU23" s="218"/>
      <c r="CV23" s="218"/>
      <c r="CW23" s="220"/>
      <c r="CX23" s="218"/>
      <c r="CY23" s="218"/>
      <c r="CZ23" s="218"/>
      <c r="DA23" s="218"/>
      <c r="DB23" s="218"/>
      <c r="DC23" s="221"/>
      <c r="DD23" s="218"/>
      <c r="DE23" s="218"/>
      <c r="DF23" s="218"/>
      <c r="DG23" s="218"/>
      <c r="DH23" s="218"/>
      <c r="DI23" s="220"/>
      <c r="DJ23" s="218"/>
      <c r="DK23" s="218"/>
      <c r="DL23" s="218"/>
      <c r="DM23" s="218"/>
      <c r="DN23" s="218"/>
      <c r="DO23" s="221"/>
      <c r="DP23" s="218"/>
      <c r="DQ23" s="218"/>
      <c r="DR23" s="218"/>
      <c r="DS23" s="218"/>
      <c r="DT23" s="218"/>
      <c r="DU23" s="222"/>
      <c r="DV23" s="217"/>
      <c r="DW23" s="218"/>
      <c r="DX23" s="218"/>
      <c r="DY23" s="218"/>
      <c r="DZ23" s="218"/>
      <c r="EA23" s="219"/>
      <c r="EB23" s="218"/>
      <c r="EC23" s="218"/>
      <c r="ED23" s="218"/>
      <c r="EE23" s="218"/>
      <c r="EF23" s="218"/>
      <c r="EG23" s="220"/>
      <c r="EH23" s="218"/>
      <c r="EI23" s="218"/>
      <c r="EJ23" s="218"/>
      <c r="EK23" s="218"/>
      <c r="EL23" s="218"/>
      <c r="EM23" s="221"/>
      <c r="EN23" s="218"/>
      <c r="EO23" s="218"/>
      <c r="EP23" s="218"/>
      <c r="EQ23" s="218"/>
      <c r="ER23" s="218"/>
      <c r="ES23" s="220"/>
      <c r="ET23" s="218"/>
      <c r="EU23" s="218"/>
      <c r="EV23" s="218"/>
      <c r="EW23" s="218"/>
      <c r="EX23" s="218"/>
      <c r="EY23" s="221"/>
      <c r="EZ23" s="218"/>
      <c r="FA23" s="218"/>
      <c r="FB23" s="218"/>
      <c r="FC23" s="218"/>
      <c r="FD23" s="218"/>
      <c r="FE23" s="220"/>
      <c r="FF23" s="218"/>
      <c r="FG23" s="218"/>
      <c r="FH23" s="218"/>
      <c r="FI23" s="218"/>
      <c r="FJ23" s="218"/>
      <c r="FK23" s="221"/>
      <c r="FL23" s="218"/>
      <c r="FM23" s="218"/>
      <c r="FN23" s="218"/>
      <c r="FO23" s="218"/>
      <c r="FP23" s="218"/>
      <c r="FQ23" s="220"/>
      <c r="FR23" s="218"/>
      <c r="FS23" s="218"/>
      <c r="FT23" s="218"/>
      <c r="FU23" s="218"/>
      <c r="FV23" s="218"/>
      <c r="FW23" s="221"/>
      <c r="FX23" s="218"/>
      <c r="FY23" s="218"/>
      <c r="FZ23" s="218"/>
      <c r="GA23" s="218"/>
      <c r="GB23" s="218"/>
      <c r="GC23" s="222"/>
      <c r="GD23" s="217"/>
      <c r="GE23" s="218"/>
      <c r="GF23" s="218"/>
      <c r="GG23" s="218"/>
      <c r="GH23" s="218"/>
      <c r="GI23" s="219"/>
      <c r="GJ23" s="218"/>
      <c r="GK23" s="218"/>
      <c r="GL23" s="218"/>
      <c r="GM23" s="218"/>
      <c r="GN23" s="218"/>
      <c r="GO23" s="220"/>
      <c r="GP23" s="218"/>
      <c r="GQ23" s="218"/>
      <c r="GR23" s="218"/>
      <c r="GS23" s="218"/>
      <c r="GT23" s="218"/>
      <c r="GU23" s="221"/>
      <c r="GV23" s="218"/>
      <c r="GW23" s="218"/>
      <c r="GX23" s="218"/>
      <c r="GY23" s="218"/>
      <c r="GZ23" s="218"/>
      <c r="HA23" s="220"/>
      <c r="HB23" s="218"/>
      <c r="HC23" s="218"/>
      <c r="HD23" s="218"/>
      <c r="HE23" s="218"/>
      <c r="HF23" s="218"/>
      <c r="HG23" s="221"/>
      <c r="HH23" s="218"/>
      <c r="HI23" s="218"/>
      <c r="HJ23" s="218"/>
      <c r="HK23" s="218"/>
      <c r="HL23" s="218"/>
      <c r="HM23" s="220"/>
      <c r="HN23" s="218"/>
      <c r="HO23" s="218"/>
      <c r="HP23" s="218"/>
      <c r="HQ23" s="218"/>
      <c r="HR23" s="218"/>
      <c r="HS23" s="221"/>
      <c r="HT23" s="218"/>
      <c r="HU23" s="218"/>
      <c r="HV23" s="218"/>
      <c r="HW23" s="218"/>
      <c r="HX23" s="218"/>
      <c r="HY23" s="220"/>
      <c r="HZ23" s="218"/>
      <c r="IA23" s="218"/>
      <c r="IB23" s="218"/>
      <c r="IC23" s="218"/>
      <c r="ID23" s="218"/>
      <c r="IE23" s="221"/>
      <c r="IF23" s="218"/>
      <c r="IG23" s="218"/>
      <c r="IH23" s="218"/>
      <c r="II23" s="218"/>
      <c r="IJ23" s="218"/>
      <c r="IK23" s="222"/>
      <c r="IL23" s="217"/>
      <c r="IM23" s="218"/>
      <c r="IN23" s="218"/>
      <c r="IO23" s="218"/>
      <c r="IP23" s="218"/>
      <c r="IQ23" s="219"/>
      <c r="IR23" s="218"/>
      <c r="IS23" s="218"/>
      <c r="IT23" s="218"/>
      <c r="IU23" s="218"/>
      <c r="IV23" s="218"/>
      <c r="IW23" s="220"/>
      <c r="IX23" s="218"/>
      <c r="IY23" s="218"/>
      <c r="IZ23" s="218"/>
      <c r="JA23" s="218"/>
      <c r="JB23" s="218"/>
      <c r="JC23" s="221"/>
      <c r="JD23" s="218"/>
      <c r="JE23" s="218"/>
      <c r="JF23" s="218"/>
      <c r="JG23" s="218"/>
      <c r="JH23" s="218"/>
      <c r="JI23" s="220"/>
      <c r="JJ23" s="218"/>
      <c r="JK23" s="218"/>
      <c r="JL23" s="218"/>
      <c r="JM23" s="218"/>
      <c r="JN23" s="218"/>
      <c r="JO23" s="221"/>
      <c r="JP23" s="218"/>
      <c r="JQ23" s="218"/>
      <c r="JR23" s="218"/>
      <c r="JS23" s="218"/>
      <c r="JT23" s="218"/>
      <c r="JU23" s="220"/>
      <c r="JV23" s="218"/>
      <c r="JW23" s="218"/>
      <c r="JX23" s="218"/>
      <c r="JY23" s="218"/>
      <c r="JZ23" s="218"/>
      <c r="KA23" s="221"/>
      <c r="KB23" s="218"/>
      <c r="KC23" s="218"/>
      <c r="KD23" s="218"/>
      <c r="KE23" s="218"/>
      <c r="KF23" s="218"/>
      <c r="KG23" s="220"/>
      <c r="KH23" s="218"/>
      <c r="KI23" s="218"/>
      <c r="KJ23" s="218"/>
      <c r="KK23" s="218"/>
      <c r="KL23" s="218"/>
      <c r="KM23" s="221"/>
      <c r="KN23" s="218"/>
      <c r="KO23" s="218"/>
      <c r="KP23" s="218"/>
      <c r="KQ23" s="218"/>
      <c r="KR23" s="218"/>
      <c r="KS23" s="222"/>
      <c r="KT23" s="217"/>
      <c r="KU23" s="218"/>
      <c r="KV23" s="218"/>
      <c r="KW23" s="218"/>
      <c r="KX23" s="218"/>
      <c r="KY23" s="219"/>
      <c r="KZ23" s="218"/>
      <c r="LA23" s="218"/>
      <c r="LB23" s="218"/>
      <c r="LC23" s="218"/>
      <c r="LD23" s="218"/>
      <c r="LE23" s="220"/>
      <c r="LF23" s="218"/>
      <c r="LG23" s="218"/>
      <c r="LH23" s="218"/>
      <c r="LI23" s="218"/>
      <c r="LJ23" s="218"/>
      <c r="LK23" s="221"/>
      <c r="LL23" s="218"/>
      <c r="LM23" s="218"/>
      <c r="LN23" s="218"/>
      <c r="LO23" s="218"/>
      <c r="LP23" s="218"/>
      <c r="LQ23" s="220"/>
      <c r="LR23" s="218"/>
      <c r="LS23" s="218"/>
      <c r="LT23" s="218"/>
      <c r="LU23" s="218"/>
      <c r="LV23" s="218"/>
      <c r="LW23" s="221"/>
      <c r="LX23" s="218"/>
      <c r="LY23" s="218"/>
      <c r="LZ23" s="218"/>
      <c r="MA23" s="218"/>
      <c r="MB23" s="218"/>
      <c r="MC23" s="220"/>
      <c r="MD23" s="218"/>
      <c r="ME23" s="218"/>
      <c r="MF23" s="218"/>
      <c r="MG23" s="218"/>
      <c r="MH23" s="218"/>
      <c r="MI23" s="221"/>
      <c r="MJ23" s="218"/>
      <c r="MK23" s="218"/>
      <c r="ML23" s="218"/>
      <c r="MM23" s="218"/>
      <c r="MN23" s="218"/>
      <c r="MO23" s="220"/>
      <c r="MP23" s="218"/>
      <c r="MQ23" s="218"/>
      <c r="MR23" s="218"/>
      <c r="MS23" s="218"/>
      <c r="MT23" s="218"/>
      <c r="MU23" s="221"/>
      <c r="MV23" s="218"/>
      <c r="MW23" s="218"/>
      <c r="MX23" s="218"/>
      <c r="MY23" s="218"/>
      <c r="MZ23" s="218"/>
      <c r="NA23" s="222"/>
      <c r="NB23" s="217"/>
      <c r="NC23" s="218"/>
      <c r="ND23" s="218"/>
      <c r="NE23" s="218"/>
      <c r="NF23" s="218"/>
      <c r="NG23" s="219"/>
      <c r="NH23" s="218"/>
      <c r="NI23" s="218"/>
      <c r="NJ23" s="218"/>
      <c r="NK23" s="218"/>
      <c r="NL23" s="218"/>
      <c r="NM23" s="220"/>
      <c r="NN23" s="218"/>
      <c r="NO23" s="218"/>
      <c r="NP23" s="218"/>
      <c r="NQ23" s="218"/>
      <c r="NR23" s="218"/>
      <c r="NS23" s="221"/>
      <c r="NT23" s="218"/>
      <c r="NU23" s="218"/>
      <c r="NV23" s="218"/>
      <c r="NW23" s="218"/>
      <c r="NX23" s="218"/>
      <c r="NY23" s="220"/>
      <c r="NZ23" s="218"/>
      <c r="OA23" s="218"/>
      <c r="OB23" s="218"/>
      <c r="OC23" s="218"/>
      <c r="OD23" s="218"/>
      <c r="OE23" s="221"/>
      <c r="OF23" s="218"/>
      <c r="OG23" s="218"/>
      <c r="OH23" s="218"/>
      <c r="OI23" s="218"/>
      <c r="OJ23" s="218"/>
      <c r="OK23" s="220"/>
      <c r="OL23" s="218"/>
      <c r="OM23" s="224"/>
      <c r="ON23" s="224"/>
      <c r="OO23" s="224"/>
      <c r="OP23" s="224"/>
      <c r="OQ23" s="230"/>
      <c r="OR23" s="224"/>
      <c r="OS23" s="224"/>
      <c r="OT23" s="224"/>
      <c r="OU23" s="218"/>
      <c r="OV23" s="218"/>
      <c r="OW23" s="220"/>
      <c r="OX23" s="218"/>
      <c r="OY23" s="218"/>
      <c r="OZ23" s="218"/>
      <c r="PA23" s="218"/>
      <c r="PB23" s="218"/>
      <c r="PC23" s="221"/>
      <c r="PD23" s="218"/>
      <c r="PE23" s="218"/>
      <c r="PF23" s="218"/>
      <c r="PG23" s="218"/>
      <c r="PH23" s="218"/>
      <c r="PI23" s="222"/>
      <c r="PJ23" s="223"/>
      <c r="PK23" s="224"/>
      <c r="PL23" s="224"/>
      <c r="PM23" s="224"/>
      <c r="PN23" s="224"/>
      <c r="PO23" s="225"/>
      <c r="PP23" s="224"/>
      <c r="PQ23" s="224"/>
      <c r="PR23" s="218"/>
      <c r="PS23" s="218"/>
      <c r="PT23" s="218"/>
      <c r="PU23" s="220"/>
      <c r="PV23" s="218"/>
      <c r="PW23" s="218"/>
      <c r="PX23" s="218"/>
      <c r="PY23" s="218"/>
      <c r="PZ23" s="218"/>
      <c r="QA23" s="221"/>
      <c r="QB23" s="218"/>
      <c r="QC23" s="218"/>
      <c r="QD23" s="218"/>
      <c r="QE23" s="218"/>
      <c r="QF23" s="218"/>
      <c r="QG23" s="220"/>
      <c r="QH23" s="218"/>
      <c r="QI23" s="218"/>
      <c r="QJ23" s="218"/>
      <c r="QK23" s="218"/>
      <c r="QL23" s="218"/>
      <c r="QM23" s="221"/>
      <c r="QN23" s="218"/>
      <c r="QO23" s="218"/>
      <c r="QP23" s="218"/>
      <c r="QQ23" s="218"/>
      <c r="QR23" s="218"/>
      <c r="QS23" s="220"/>
      <c r="QT23" s="218"/>
      <c r="QU23" s="218"/>
      <c r="QV23" s="218"/>
      <c r="QW23" s="218"/>
      <c r="QX23" s="218"/>
      <c r="QY23" s="221"/>
      <c r="QZ23" s="218"/>
      <c r="RA23" s="218"/>
      <c r="RB23" s="218"/>
      <c r="RC23" s="218"/>
      <c r="RD23" s="218"/>
      <c r="RE23" s="220"/>
      <c r="RF23" s="218"/>
      <c r="RG23" s="218"/>
      <c r="RH23" s="218"/>
      <c r="RI23" s="218"/>
      <c r="RJ23" s="218"/>
      <c r="RK23" s="221"/>
      <c r="RL23" s="218"/>
      <c r="RM23" s="218"/>
      <c r="RN23" s="218"/>
      <c r="RO23" s="218"/>
      <c r="RP23" s="218"/>
      <c r="RQ23" s="222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73"/>
    </row>
    <row r="24" spans="1:1326" ht="20.100000000000001" customHeight="1" x14ac:dyDescent="0.25">
      <c r="A24" s="78" t="s">
        <v>27</v>
      </c>
      <c r="B24" s="51" t="str">
        <f>IF(LEN(C33)=0,"",C33)</f>
        <v>Backend - Gestion profil</v>
      </c>
      <c r="C24" s="164"/>
      <c r="D24" s="120" t="str">
        <f t="shared" si="0"/>
        <v>90h</v>
      </c>
      <c r="E24" s="22">
        <v>1080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73"/>
    </row>
    <row r="25" spans="1:1326" ht="20.100000000000001" customHeight="1" x14ac:dyDescent="0.25">
      <c r="A25" s="78" t="s">
        <v>26</v>
      </c>
      <c r="B25" s="51" t="str">
        <f>IF(LEN(C35)=0,"",C35)</f>
        <v>Backend - Initialisation structure Laravel</v>
      </c>
      <c r="C25" s="163" t="s">
        <v>51</v>
      </c>
      <c r="D25" s="119" t="str">
        <f t="shared" si="0"/>
        <v>91h 15 min</v>
      </c>
      <c r="E25" s="26">
        <v>1095</v>
      </c>
      <c r="F25" s="211"/>
      <c r="G25" s="212"/>
      <c r="H25" s="212"/>
      <c r="I25" s="212"/>
      <c r="J25" s="212"/>
      <c r="K25" s="213"/>
      <c r="L25" s="212"/>
      <c r="M25" s="212"/>
      <c r="N25" s="212"/>
      <c r="O25" s="212"/>
      <c r="P25" s="212"/>
      <c r="Q25" s="214"/>
      <c r="R25" s="212"/>
      <c r="S25" s="212"/>
      <c r="T25" s="212"/>
      <c r="U25" s="212"/>
      <c r="V25" s="212"/>
      <c r="W25" s="215"/>
      <c r="X25" s="212"/>
      <c r="Y25" s="212"/>
      <c r="Z25" s="212"/>
      <c r="AA25" s="212"/>
      <c r="AB25" s="212"/>
      <c r="AC25" s="214"/>
      <c r="AD25" s="212"/>
      <c r="AE25" s="212"/>
      <c r="AF25" s="212"/>
      <c r="AG25" s="212"/>
      <c r="AH25" s="212"/>
      <c r="AI25" s="215"/>
      <c r="AJ25" s="212"/>
      <c r="AK25" s="212"/>
      <c r="AL25" s="212"/>
      <c r="AM25" s="212"/>
      <c r="AN25" s="212"/>
      <c r="AO25" s="214"/>
      <c r="AP25" s="212"/>
      <c r="AQ25" s="212"/>
      <c r="AR25" s="212"/>
      <c r="AS25" s="212"/>
      <c r="AT25" s="212"/>
      <c r="AU25" s="215"/>
      <c r="AV25" s="212"/>
      <c r="AW25" s="212"/>
      <c r="AX25" s="212"/>
      <c r="AY25" s="212"/>
      <c r="AZ25" s="212"/>
      <c r="BA25" s="214"/>
      <c r="BB25" s="212"/>
      <c r="BC25" s="212"/>
      <c r="BD25" s="212"/>
      <c r="BE25" s="212"/>
      <c r="BF25" s="212"/>
      <c r="BG25" s="215"/>
      <c r="BH25" s="212"/>
      <c r="BI25" s="212"/>
      <c r="BJ25" s="212"/>
      <c r="BK25" s="212"/>
      <c r="BL25" s="212"/>
      <c r="BM25" s="216"/>
      <c r="BN25" s="211"/>
      <c r="BO25" s="212"/>
      <c r="BP25" s="212"/>
      <c r="BQ25" s="212"/>
      <c r="BR25" s="212"/>
      <c r="BS25" s="213"/>
      <c r="BT25" s="212"/>
      <c r="BU25" s="212"/>
      <c r="BV25" s="212"/>
      <c r="BW25" s="212"/>
      <c r="BX25" s="212"/>
      <c r="BY25" s="214"/>
      <c r="BZ25" s="212"/>
      <c r="CA25" s="212"/>
      <c r="CB25" s="212"/>
      <c r="CC25" s="212"/>
      <c r="CD25" s="212"/>
      <c r="CE25" s="215"/>
      <c r="CF25" s="212"/>
      <c r="CG25" s="212"/>
      <c r="CH25" s="212"/>
      <c r="CI25" s="212"/>
      <c r="CJ25" s="212"/>
      <c r="CK25" s="214"/>
      <c r="CL25" s="212"/>
      <c r="CM25" s="212"/>
      <c r="CN25" s="212"/>
      <c r="CO25" s="212"/>
      <c r="CP25" s="212"/>
      <c r="CQ25" s="215"/>
      <c r="CR25" s="212"/>
      <c r="CS25" s="212"/>
      <c r="CT25" s="212"/>
      <c r="CU25" s="212"/>
      <c r="CV25" s="212"/>
      <c r="CW25" s="214"/>
      <c r="CX25" s="212"/>
      <c r="CY25" s="212"/>
      <c r="CZ25" s="212"/>
      <c r="DA25" s="212"/>
      <c r="DB25" s="212"/>
      <c r="DC25" s="215"/>
      <c r="DD25" s="212"/>
      <c r="DE25" s="212"/>
      <c r="DF25" s="212"/>
      <c r="DG25" s="212"/>
      <c r="DH25" s="212"/>
      <c r="DI25" s="214"/>
      <c r="DJ25" s="212"/>
      <c r="DK25" s="212"/>
      <c r="DL25" s="212"/>
      <c r="DM25" s="212"/>
      <c r="DN25" s="212"/>
      <c r="DO25" s="215"/>
      <c r="DP25" s="212"/>
      <c r="DQ25" s="212"/>
      <c r="DR25" s="212"/>
      <c r="DS25" s="212"/>
      <c r="DT25" s="212"/>
      <c r="DU25" s="216"/>
      <c r="DV25" s="211"/>
      <c r="DW25" s="212"/>
      <c r="DX25" s="212"/>
      <c r="DY25" s="212"/>
      <c r="DZ25" s="212"/>
      <c r="EA25" s="213"/>
      <c r="EB25" s="212"/>
      <c r="EC25" s="212"/>
      <c r="ED25" s="212"/>
      <c r="EE25" s="212"/>
      <c r="EF25" s="212"/>
      <c r="EG25" s="214"/>
      <c r="EH25" s="212"/>
      <c r="EI25" s="212"/>
      <c r="EJ25" s="212"/>
      <c r="EK25" s="212"/>
      <c r="EL25" s="212"/>
      <c r="EM25" s="215"/>
      <c r="EN25" s="212"/>
      <c r="EO25" s="212"/>
      <c r="EP25" s="212"/>
      <c r="EQ25" s="212"/>
      <c r="ER25" s="212"/>
      <c r="ES25" s="214"/>
      <c r="ET25" s="212"/>
      <c r="EU25" s="212"/>
      <c r="EV25" s="212"/>
      <c r="EW25" s="212"/>
      <c r="EX25" s="212"/>
      <c r="EY25" s="215"/>
      <c r="EZ25" s="212"/>
      <c r="FA25" s="212"/>
      <c r="FB25" s="212"/>
      <c r="FC25" s="212"/>
      <c r="FD25" s="212"/>
      <c r="FE25" s="214"/>
      <c r="FF25" s="212"/>
      <c r="FG25" s="212"/>
      <c r="FH25" s="212"/>
      <c r="FI25" s="212"/>
      <c r="FJ25" s="212"/>
      <c r="FK25" s="215"/>
      <c r="FL25" s="212"/>
      <c r="FM25" s="212"/>
      <c r="FN25" s="212"/>
      <c r="FO25" s="212"/>
      <c r="FP25" s="212"/>
      <c r="FQ25" s="214"/>
      <c r="FR25" s="212"/>
      <c r="FS25" s="212"/>
      <c r="FT25" s="212"/>
      <c r="FU25" s="212"/>
      <c r="FV25" s="212"/>
      <c r="FW25" s="215"/>
      <c r="FX25" s="212"/>
      <c r="FY25" s="212"/>
      <c r="FZ25" s="212"/>
      <c r="GA25" s="212"/>
      <c r="GB25" s="212"/>
      <c r="GC25" s="216"/>
      <c r="GD25" s="211"/>
      <c r="GE25" s="212"/>
      <c r="GF25" s="212"/>
      <c r="GG25" s="212"/>
      <c r="GH25" s="212"/>
      <c r="GI25" s="213"/>
      <c r="GJ25" s="212"/>
      <c r="GK25" s="212"/>
      <c r="GL25" s="212"/>
      <c r="GM25" s="212"/>
      <c r="GN25" s="212"/>
      <c r="GO25" s="214"/>
      <c r="GP25" s="212"/>
      <c r="GQ25" s="212"/>
      <c r="GR25" s="212"/>
      <c r="GS25" s="212"/>
      <c r="GT25" s="212"/>
      <c r="GU25" s="215"/>
      <c r="GV25" s="212"/>
      <c r="GW25" s="212"/>
      <c r="GX25" s="212"/>
      <c r="GY25" s="212"/>
      <c r="GZ25" s="212"/>
      <c r="HA25" s="214"/>
      <c r="HB25" s="212"/>
      <c r="HC25" s="212"/>
      <c r="HD25" s="212"/>
      <c r="HE25" s="212"/>
      <c r="HF25" s="212"/>
      <c r="HG25" s="215"/>
      <c r="HH25" s="212"/>
      <c r="HI25" s="212"/>
      <c r="HJ25" s="212"/>
      <c r="HK25" s="212"/>
      <c r="HL25" s="212"/>
      <c r="HM25" s="214"/>
      <c r="HN25" s="212"/>
      <c r="HO25" s="212"/>
      <c r="HP25" s="212"/>
      <c r="HQ25" s="212"/>
      <c r="HR25" s="212"/>
      <c r="HS25" s="215"/>
      <c r="HT25" s="212"/>
      <c r="HU25" s="212"/>
      <c r="HV25" s="212"/>
      <c r="HW25" s="212"/>
      <c r="HX25" s="212"/>
      <c r="HY25" s="214"/>
      <c r="HZ25" s="212"/>
      <c r="IA25" s="212"/>
      <c r="IB25" s="212"/>
      <c r="IC25" s="212"/>
      <c r="ID25" s="212"/>
      <c r="IE25" s="215"/>
      <c r="IF25" s="212"/>
      <c r="IG25" s="212"/>
      <c r="IH25" s="212"/>
      <c r="II25" s="212"/>
      <c r="IJ25" s="212"/>
      <c r="IK25" s="216"/>
      <c r="IL25" s="211"/>
      <c r="IM25" s="212"/>
      <c r="IN25" s="212"/>
      <c r="IO25" s="212"/>
      <c r="IP25" s="212"/>
      <c r="IQ25" s="213"/>
      <c r="IR25" s="212"/>
      <c r="IS25" s="212"/>
      <c r="IT25" s="212"/>
      <c r="IU25" s="212"/>
      <c r="IV25" s="212"/>
      <c r="IW25" s="214"/>
      <c r="IX25" s="212"/>
      <c r="IY25" s="212"/>
      <c r="IZ25" s="212"/>
      <c r="JA25" s="212"/>
      <c r="JB25" s="212"/>
      <c r="JC25" s="215"/>
      <c r="JD25" s="212"/>
      <c r="JE25" s="212"/>
      <c r="JF25" s="212"/>
      <c r="JG25" s="212"/>
      <c r="JH25" s="212"/>
      <c r="JI25" s="214"/>
      <c r="JJ25" s="212"/>
      <c r="JK25" s="212"/>
      <c r="JL25" s="212"/>
      <c r="JM25" s="212"/>
      <c r="JN25" s="212"/>
      <c r="JO25" s="215"/>
      <c r="JP25" s="212"/>
      <c r="JQ25" s="212"/>
      <c r="JR25" s="212"/>
      <c r="JS25" s="212"/>
      <c r="JT25" s="212"/>
      <c r="JU25" s="214"/>
      <c r="JV25" s="212"/>
      <c r="JW25" s="212"/>
      <c r="JX25" s="212"/>
      <c r="JY25" s="212"/>
      <c r="JZ25" s="212"/>
      <c r="KA25" s="215"/>
      <c r="KB25" s="212"/>
      <c r="KC25" s="212"/>
      <c r="KD25" s="212"/>
      <c r="KE25" s="212"/>
      <c r="KF25" s="212"/>
      <c r="KG25" s="214"/>
      <c r="KH25" s="212"/>
      <c r="KI25" s="212"/>
      <c r="KJ25" s="212"/>
      <c r="KK25" s="212"/>
      <c r="KL25" s="212"/>
      <c r="KM25" s="215"/>
      <c r="KN25" s="212"/>
      <c r="KO25" s="212"/>
      <c r="KP25" s="212"/>
      <c r="KQ25" s="212"/>
      <c r="KR25" s="212"/>
      <c r="KS25" s="216"/>
      <c r="KT25" s="211"/>
      <c r="KU25" s="212"/>
      <c r="KV25" s="212"/>
      <c r="KW25" s="212"/>
      <c r="KX25" s="212"/>
      <c r="KY25" s="213"/>
      <c r="KZ25" s="212"/>
      <c r="LA25" s="212"/>
      <c r="LB25" s="212"/>
      <c r="LC25" s="212"/>
      <c r="LD25" s="212"/>
      <c r="LE25" s="214"/>
      <c r="LF25" s="212"/>
      <c r="LG25" s="212"/>
      <c r="LH25" s="212"/>
      <c r="LI25" s="212"/>
      <c r="LJ25" s="212"/>
      <c r="LK25" s="215"/>
      <c r="LL25" s="212"/>
      <c r="LM25" s="212"/>
      <c r="LN25" s="212"/>
      <c r="LO25" s="212"/>
      <c r="LP25" s="212"/>
      <c r="LQ25" s="214"/>
      <c r="LR25" s="212"/>
      <c r="LS25" s="212"/>
      <c r="LT25" s="212"/>
      <c r="LU25" s="212"/>
      <c r="LV25" s="212"/>
      <c r="LW25" s="215"/>
      <c r="LX25" s="212"/>
      <c r="LY25" s="212"/>
      <c r="LZ25" s="212"/>
      <c r="MA25" s="212"/>
      <c r="MB25" s="212"/>
      <c r="MC25" s="214"/>
      <c r="MD25" s="212"/>
      <c r="ME25" s="212"/>
      <c r="MF25" s="212"/>
      <c r="MG25" s="212"/>
      <c r="MH25" s="212"/>
      <c r="MI25" s="215"/>
      <c r="MJ25" s="212"/>
      <c r="MK25" s="212"/>
      <c r="ML25" s="212"/>
      <c r="MM25" s="212"/>
      <c r="MN25" s="212"/>
      <c r="MO25" s="214"/>
      <c r="MP25" s="212"/>
      <c r="MQ25" s="212"/>
      <c r="MR25" s="212"/>
      <c r="MS25" s="212"/>
      <c r="MT25" s="212"/>
      <c r="MU25" s="215"/>
      <c r="MV25" s="212"/>
      <c r="MW25" s="212"/>
      <c r="MX25" s="212"/>
      <c r="MY25" s="212"/>
      <c r="MZ25" s="212"/>
      <c r="NA25" s="216"/>
      <c r="NB25" s="211"/>
      <c r="NC25" s="212"/>
      <c r="ND25" s="212"/>
      <c r="NE25" s="212"/>
      <c r="NF25" s="212"/>
      <c r="NG25" s="213"/>
      <c r="NH25" s="212"/>
      <c r="NI25" s="212"/>
      <c r="NJ25" s="212"/>
      <c r="NK25" s="212"/>
      <c r="NL25" s="212"/>
      <c r="NM25" s="214"/>
      <c r="NN25" s="212"/>
      <c r="NO25" s="212"/>
      <c r="NP25" s="212"/>
      <c r="NQ25" s="212"/>
      <c r="NR25" s="212"/>
      <c r="NS25" s="215"/>
      <c r="NT25" s="212"/>
      <c r="NU25" s="212"/>
      <c r="NV25" s="212"/>
      <c r="NW25" s="212"/>
      <c r="NX25" s="212"/>
      <c r="NY25" s="214"/>
      <c r="NZ25" s="212"/>
      <c r="OA25" s="212"/>
      <c r="OB25" s="212"/>
      <c r="OC25" s="212"/>
      <c r="OD25" s="212"/>
      <c r="OE25" s="215"/>
      <c r="OF25" s="212"/>
      <c r="OG25" s="212"/>
      <c r="OH25" s="212"/>
      <c r="OI25" s="212"/>
      <c r="OJ25" s="212"/>
      <c r="OK25" s="214"/>
      <c r="OL25" s="212"/>
      <c r="OM25" s="212"/>
      <c r="ON25" s="212"/>
      <c r="OO25" s="212"/>
      <c r="OP25" s="212"/>
      <c r="OQ25" s="215"/>
      <c r="OR25" s="212"/>
      <c r="OS25" s="212"/>
      <c r="OT25" s="212"/>
      <c r="OU25" s="212"/>
      <c r="OV25" s="212"/>
      <c r="OW25" s="214"/>
      <c r="OX25" s="212"/>
      <c r="OY25" s="212"/>
      <c r="OZ25" s="212"/>
      <c r="PA25" s="212"/>
      <c r="PB25" s="212"/>
      <c r="PC25" s="215"/>
      <c r="PD25" s="212"/>
      <c r="PE25" s="212"/>
      <c r="PF25" s="212"/>
      <c r="PG25" s="212"/>
      <c r="PH25" s="212"/>
      <c r="PI25" s="216"/>
      <c r="PJ25" s="211"/>
      <c r="PK25" s="212"/>
      <c r="PL25" s="212"/>
      <c r="PM25" s="212"/>
      <c r="PN25" s="212"/>
      <c r="PO25" s="213"/>
      <c r="PP25" s="212"/>
      <c r="PQ25" s="212"/>
      <c r="PR25" s="226"/>
      <c r="PS25" s="226"/>
      <c r="PT25" s="226"/>
      <c r="PU25" s="227"/>
      <c r="PV25" s="226"/>
      <c r="PW25" s="226"/>
      <c r="PX25" s="226"/>
      <c r="PY25" s="226"/>
      <c r="PZ25" s="226"/>
      <c r="QA25" s="228"/>
      <c r="QB25" s="226"/>
      <c r="QC25" s="226"/>
      <c r="QD25" s="226"/>
      <c r="QE25" s="226"/>
      <c r="QF25" s="226"/>
      <c r="QG25" s="214"/>
      <c r="QH25" s="212"/>
      <c r="QI25" s="212"/>
      <c r="QJ25" s="212"/>
      <c r="QK25" s="212"/>
      <c r="QL25" s="212"/>
      <c r="QM25" s="215"/>
      <c r="QN25" s="212"/>
      <c r="QO25" s="212"/>
      <c r="QP25" s="212"/>
      <c r="QQ25" s="212"/>
      <c r="QR25" s="212"/>
      <c r="QS25" s="214"/>
      <c r="QT25" s="212"/>
      <c r="QU25" s="212"/>
      <c r="QV25" s="212"/>
      <c r="QW25" s="212"/>
      <c r="QX25" s="212"/>
      <c r="QY25" s="215"/>
      <c r="QZ25" s="212"/>
      <c r="RA25" s="212"/>
      <c r="RB25" s="212"/>
      <c r="RC25" s="212"/>
      <c r="RD25" s="212"/>
      <c r="RE25" s="214"/>
      <c r="RF25" s="212"/>
      <c r="RG25" s="212"/>
      <c r="RH25" s="212"/>
      <c r="RI25" s="212"/>
      <c r="RJ25" s="212"/>
      <c r="RK25" s="215"/>
      <c r="RL25" s="212"/>
      <c r="RM25" s="212"/>
      <c r="RN25" s="212"/>
      <c r="RO25" s="212"/>
      <c r="RP25" s="212"/>
      <c r="RQ25" s="216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73"/>
    </row>
    <row r="26" spans="1:1326" ht="20.100000000000001" customHeight="1" x14ac:dyDescent="0.3">
      <c r="A26" s="78" t="s">
        <v>27</v>
      </c>
      <c r="B26" s="51" t="str">
        <f>IF(LEN(C37)=0,"",C37)</f>
        <v>Backend - Migrations/Seeders</v>
      </c>
      <c r="C26" s="169"/>
      <c r="D26" s="121" t="str">
        <f t="shared" si="0"/>
        <v>90h</v>
      </c>
      <c r="E26" s="30">
        <v>1080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73"/>
    </row>
    <row r="27" spans="1:1326" ht="20.100000000000001" customHeight="1" x14ac:dyDescent="0.25">
      <c r="A27" s="78" t="s">
        <v>26</v>
      </c>
      <c r="B27" s="51" t="str">
        <f>IF(LEN(C39)=0,"",C39)</f>
        <v>Backend - Rôles et accès</v>
      </c>
      <c r="C27" s="163" t="s">
        <v>75</v>
      </c>
      <c r="D27" s="119" t="str">
        <f t="shared" si="0"/>
        <v>90h</v>
      </c>
      <c r="E27" s="34">
        <v>1080</v>
      </c>
      <c r="F27" s="217"/>
      <c r="G27" s="218"/>
      <c r="H27" s="218"/>
      <c r="I27" s="218"/>
      <c r="J27" s="218"/>
      <c r="K27" s="219"/>
      <c r="L27" s="218"/>
      <c r="M27" s="218"/>
      <c r="N27" s="218"/>
      <c r="O27" s="218"/>
      <c r="P27" s="218"/>
      <c r="Q27" s="220"/>
      <c r="R27" s="218"/>
      <c r="S27" s="218"/>
      <c r="T27" s="218"/>
      <c r="U27" s="218"/>
      <c r="V27" s="218"/>
      <c r="W27" s="221"/>
      <c r="X27" s="218"/>
      <c r="Y27" s="218"/>
      <c r="Z27" s="218"/>
      <c r="AA27" s="218"/>
      <c r="AB27" s="218"/>
      <c r="AC27" s="220"/>
      <c r="AD27" s="218"/>
      <c r="AE27" s="218"/>
      <c r="AF27" s="218"/>
      <c r="AG27" s="218"/>
      <c r="AH27" s="218"/>
      <c r="AI27" s="221"/>
      <c r="AJ27" s="218"/>
      <c r="AK27" s="218"/>
      <c r="AL27" s="218"/>
      <c r="AM27" s="218"/>
      <c r="AN27" s="218"/>
      <c r="AO27" s="220"/>
      <c r="AP27" s="218"/>
      <c r="AQ27" s="218"/>
      <c r="AR27" s="218"/>
      <c r="AS27" s="218"/>
      <c r="AT27" s="218"/>
      <c r="AU27" s="221"/>
      <c r="AV27" s="218"/>
      <c r="AW27" s="218"/>
      <c r="AX27" s="218"/>
      <c r="AY27" s="218"/>
      <c r="AZ27" s="218"/>
      <c r="BA27" s="220"/>
      <c r="BB27" s="218"/>
      <c r="BC27" s="218"/>
      <c r="BD27" s="218"/>
      <c r="BE27" s="218"/>
      <c r="BF27" s="218"/>
      <c r="BG27" s="221"/>
      <c r="BH27" s="218"/>
      <c r="BI27" s="218"/>
      <c r="BJ27" s="218"/>
      <c r="BK27" s="218"/>
      <c r="BL27" s="218"/>
      <c r="BM27" s="222"/>
      <c r="BN27" s="217"/>
      <c r="BO27" s="218"/>
      <c r="BP27" s="218"/>
      <c r="BQ27" s="218"/>
      <c r="BR27" s="218"/>
      <c r="BS27" s="219"/>
      <c r="BT27" s="218"/>
      <c r="BU27" s="218"/>
      <c r="BV27" s="218"/>
      <c r="BW27" s="218"/>
      <c r="BX27" s="218"/>
      <c r="BY27" s="220"/>
      <c r="BZ27" s="218"/>
      <c r="CA27" s="218"/>
      <c r="CB27" s="218"/>
      <c r="CC27" s="218"/>
      <c r="CD27" s="218"/>
      <c r="CE27" s="221"/>
      <c r="CF27" s="218"/>
      <c r="CG27" s="218"/>
      <c r="CH27" s="218"/>
      <c r="CI27" s="218"/>
      <c r="CJ27" s="218"/>
      <c r="CK27" s="220"/>
      <c r="CL27" s="218"/>
      <c r="CM27" s="218"/>
      <c r="CN27" s="218"/>
      <c r="CO27" s="218"/>
      <c r="CP27" s="218"/>
      <c r="CQ27" s="221"/>
      <c r="CR27" s="218"/>
      <c r="CS27" s="218"/>
      <c r="CT27" s="218"/>
      <c r="CU27" s="218"/>
      <c r="CV27" s="218"/>
      <c r="CW27" s="220"/>
      <c r="CX27" s="218"/>
      <c r="CY27" s="218"/>
      <c r="CZ27" s="218"/>
      <c r="DA27" s="218"/>
      <c r="DB27" s="218"/>
      <c r="DC27" s="221"/>
      <c r="DD27" s="218"/>
      <c r="DE27" s="218"/>
      <c r="DF27" s="218"/>
      <c r="DG27" s="218"/>
      <c r="DH27" s="218"/>
      <c r="DI27" s="220"/>
      <c r="DJ27" s="218"/>
      <c r="DK27" s="218"/>
      <c r="DL27" s="218"/>
      <c r="DM27" s="218"/>
      <c r="DN27" s="218"/>
      <c r="DO27" s="221"/>
      <c r="DP27" s="218"/>
      <c r="DQ27" s="218"/>
      <c r="DR27" s="218"/>
      <c r="DS27" s="218"/>
      <c r="DT27" s="218"/>
      <c r="DU27" s="222"/>
      <c r="DV27" s="217"/>
      <c r="DW27" s="218"/>
      <c r="DX27" s="218"/>
      <c r="DY27" s="218"/>
      <c r="DZ27" s="218"/>
      <c r="EA27" s="219"/>
      <c r="EB27" s="218"/>
      <c r="EC27" s="218"/>
      <c r="ED27" s="218"/>
      <c r="EE27" s="218"/>
      <c r="EF27" s="218"/>
      <c r="EG27" s="220"/>
      <c r="EH27" s="218"/>
      <c r="EI27" s="218"/>
      <c r="EJ27" s="218"/>
      <c r="EK27" s="218"/>
      <c r="EL27" s="218"/>
      <c r="EM27" s="221"/>
      <c r="EN27" s="218"/>
      <c r="EO27" s="218"/>
      <c r="EP27" s="218"/>
      <c r="EQ27" s="218"/>
      <c r="ER27" s="218"/>
      <c r="ES27" s="220"/>
      <c r="ET27" s="218"/>
      <c r="EU27" s="218"/>
      <c r="EV27" s="218"/>
      <c r="EW27" s="218"/>
      <c r="EX27" s="218"/>
      <c r="EY27" s="221"/>
      <c r="EZ27" s="218"/>
      <c r="FA27" s="218"/>
      <c r="FB27" s="218"/>
      <c r="FC27" s="218"/>
      <c r="FD27" s="218"/>
      <c r="FE27" s="220"/>
      <c r="FF27" s="218"/>
      <c r="FG27" s="218"/>
      <c r="FH27" s="218"/>
      <c r="FI27" s="218"/>
      <c r="FJ27" s="218"/>
      <c r="FK27" s="221"/>
      <c r="FL27" s="218"/>
      <c r="FM27" s="218"/>
      <c r="FN27" s="218"/>
      <c r="FO27" s="218"/>
      <c r="FP27" s="218"/>
      <c r="FQ27" s="220"/>
      <c r="FR27" s="218"/>
      <c r="FS27" s="218"/>
      <c r="FT27" s="218"/>
      <c r="FU27" s="218"/>
      <c r="FV27" s="218"/>
      <c r="FW27" s="221"/>
      <c r="FX27" s="218"/>
      <c r="FY27" s="218"/>
      <c r="FZ27" s="218"/>
      <c r="GA27" s="218"/>
      <c r="GB27" s="218"/>
      <c r="GC27" s="222"/>
      <c r="GD27" s="217"/>
      <c r="GE27" s="218"/>
      <c r="GF27" s="218"/>
      <c r="GG27" s="218"/>
      <c r="GH27" s="218"/>
      <c r="GI27" s="219"/>
      <c r="GJ27" s="218"/>
      <c r="GK27" s="218"/>
      <c r="GL27" s="218"/>
      <c r="GM27" s="218"/>
      <c r="GN27" s="218"/>
      <c r="GO27" s="220"/>
      <c r="GP27" s="218"/>
      <c r="GQ27" s="218"/>
      <c r="GR27" s="218"/>
      <c r="GS27" s="218"/>
      <c r="GT27" s="218"/>
      <c r="GU27" s="221"/>
      <c r="GV27" s="218"/>
      <c r="GW27" s="218"/>
      <c r="GX27" s="218"/>
      <c r="GY27" s="218"/>
      <c r="GZ27" s="218"/>
      <c r="HA27" s="220"/>
      <c r="HB27" s="218"/>
      <c r="HC27" s="218"/>
      <c r="HD27" s="218"/>
      <c r="HE27" s="218"/>
      <c r="HF27" s="218"/>
      <c r="HG27" s="221"/>
      <c r="HH27" s="218"/>
      <c r="HI27" s="218"/>
      <c r="HJ27" s="218"/>
      <c r="HK27" s="218"/>
      <c r="HL27" s="218"/>
      <c r="HM27" s="220"/>
      <c r="HN27" s="218"/>
      <c r="HO27" s="218"/>
      <c r="HP27" s="218"/>
      <c r="HQ27" s="218"/>
      <c r="HR27" s="218"/>
      <c r="HS27" s="221"/>
      <c r="HT27" s="218"/>
      <c r="HU27" s="218"/>
      <c r="HV27" s="218"/>
      <c r="HW27" s="218"/>
      <c r="HX27" s="218"/>
      <c r="HY27" s="220"/>
      <c r="HZ27" s="218"/>
      <c r="IA27" s="218"/>
      <c r="IB27" s="218"/>
      <c r="IC27" s="218"/>
      <c r="ID27" s="218"/>
      <c r="IE27" s="221"/>
      <c r="IF27" s="218"/>
      <c r="IG27" s="218"/>
      <c r="IH27" s="218"/>
      <c r="II27" s="218"/>
      <c r="IJ27" s="218"/>
      <c r="IK27" s="222"/>
      <c r="IL27" s="217"/>
      <c r="IM27" s="218"/>
      <c r="IN27" s="218"/>
      <c r="IO27" s="218"/>
      <c r="IP27" s="218"/>
      <c r="IQ27" s="219"/>
      <c r="IR27" s="218"/>
      <c r="IS27" s="218"/>
      <c r="IT27" s="218"/>
      <c r="IU27" s="218"/>
      <c r="IV27" s="218"/>
      <c r="IW27" s="220"/>
      <c r="IX27" s="218"/>
      <c r="IY27" s="218"/>
      <c r="IZ27" s="218"/>
      <c r="JA27" s="218"/>
      <c r="JB27" s="218"/>
      <c r="JC27" s="221"/>
      <c r="JD27" s="218"/>
      <c r="JE27" s="218"/>
      <c r="JF27" s="218"/>
      <c r="JG27" s="218"/>
      <c r="JH27" s="218"/>
      <c r="JI27" s="220"/>
      <c r="JJ27" s="218"/>
      <c r="JK27" s="218"/>
      <c r="JL27" s="218"/>
      <c r="JM27" s="218"/>
      <c r="JN27" s="218"/>
      <c r="JO27" s="221"/>
      <c r="JP27" s="218"/>
      <c r="JQ27" s="218"/>
      <c r="JR27" s="218"/>
      <c r="JS27" s="218"/>
      <c r="JT27" s="218"/>
      <c r="JU27" s="220"/>
      <c r="JV27" s="218"/>
      <c r="JW27" s="218"/>
      <c r="JX27" s="218"/>
      <c r="JY27" s="218"/>
      <c r="JZ27" s="218"/>
      <c r="KA27" s="221"/>
      <c r="KB27" s="218"/>
      <c r="KC27" s="218"/>
      <c r="KD27" s="218"/>
      <c r="KE27" s="218"/>
      <c r="KF27" s="218"/>
      <c r="KG27" s="220"/>
      <c r="KH27" s="218"/>
      <c r="KI27" s="218"/>
      <c r="KJ27" s="218"/>
      <c r="KK27" s="218"/>
      <c r="KL27" s="218"/>
      <c r="KM27" s="221"/>
      <c r="KN27" s="218"/>
      <c r="KO27" s="218"/>
      <c r="KP27" s="218"/>
      <c r="KQ27" s="218"/>
      <c r="KR27" s="218"/>
      <c r="KS27" s="222"/>
      <c r="KT27" s="217"/>
      <c r="KU27" s="218"/>
      <c r="KV27" s="218"/>
      <c r="KW27" s="218"/>
      <c r="KX27" s="218"/>
      <c r="KY27" s="219"/>
      <c r="KZ27" s="218"/>
      <c r="LA27" s="218"/>
      <c r="LB27" s="218"/>
      <c r="LC27" s="218"/>
      <c r="LD27" s="218"/>
      <c r="LE27" s="220"/>
      <c r="LF27" s="218"/>
      <c r="LG27" s="218"/>
      <c r="LH27" s="218"/>
      <c r="LI27" s="218"/>
      <c r="LJ27" s="218"/>
      <c r="LK27" s="221"/>
      <c r="LL27" s="218"/>
      <c r="LM27" s="218"/>
      <c r="LN27" s="218"/>
      <c r="LO27" s="218"/>
      <c r="LP27" s="218"/>
      <c r="LQ27" s="220"/>
      <c r="LR27" s="218"/>
      <c r="LS27" s="218"/>
      <c r="LT27" s="218"/>
      <c r="LU27" s="218"/>
      <c r="LV27" s="218"/>
      <c r="LW27" s="221"/>
      <c r="LX27" s="218"/>
      <c r="LY27" s="218"/>
      <c r="LZ27" s="218"/>
      <c r="MA27" s="218"/>
      <c r="MB27" s="218"/>
      <c r="MC27" s="220"/>
      <c r="MD27" s="218"/>
      <c r="ME27" s="218"/>
      <c r="MF27" s="218"/>
      <c r="MG27" s="218"/>
      <c r="MH27" s="218"/>
      <c r="MI27" s="221"/>
      <c r="MJ27" s="218"/>
      <c r="MK27" s="218"/>
      <c r="ML27" s="218"/>
      <c r="MM27" s="218"/>
      <c r="MN27" s="218"/>
      <c r="MO27" s="220"/>
      <c r="MP27" s="218"/>
      <c r="MQ27" s="218"/>
      <c r="MR27" s="218"/>
      <c r="MS27" s="218"/>
      <c r="MT27" s="218"/>
      <c r="MU27" s="221"/>
      <c r="MV27" s="218"/>
      <c r="MW27" s="218"/>
      <c r="MX27" s="218"/>
      <c r="MY27" s="218"/>
      <c r="MZ27" s="218"/>
      <c r="NA27" s="222"/>
      <c r="NB27" s="217"/>
      <c r="NC27" s="218"/>
      <c r="ND27" s="218"/>
      <c r="NE27" s="218"/>
      <c r="NF27" s="218"/>
      <c r="NG27" s="219"/>
      <c r="NH27" s="218"/>
      <c r="NI27" s="218"/>
      <c r="NJ27" s="218"/>
      <c r="NK27" s="218"/>
      <c r="NL27" s="218"/>
      <c r="NM27" s="220"/>
      <c r="NN27" s="218"/>
      <c r="NO27" s="218"/>
      <c r="NP27" s="218"/>
      <c r="NQ27" s="218"/>
      <c r="NR27" s="218"/>
      <c r="NS27" s="221"/>
      <c r="NT27" s="218"/>
      <c r="NU27" s="218"/>
      <c r="NV27" s="218"/>
      <c r="NW27" s="218"/>
      <c r="NX27" s="218"/>
      <c r="NY27" s="220"/>
      <c r="NZ27" s="218"/>
      <c r="OA27" s="218"/>
      <c r="OB27" s="218"/>
      <c r="OC27" s="218"/>
      <c r="OD27" s="218"/>
      <c r="OE27" s="221"/>
      <c r="OF27" s="218"/>
      <c r="OG27" s="218"/>
      <c r="OH27" s="218"/>
      <c r="OI27" s="218"/>
      <c r="OJ27" s="218"/>
      <c r="OK27" s="220"/>
      <c r="OL27" s="218"/>
      <c r="OM27" s="218"/>
      <c r="ON27" s="218"/>
      <c r="OO27" s="218"/>
      <c r="OP27" s="218"/>
      <c r="OQ27" s="221"/>
      <c r="OR27" s="218"/>
      <c r="OS27" s="218"/>
      <c r="OT27" s="218"/>
      <c r="OU27" s="218"/>
      <c r="OV27" s="218"/>
      <c r="OW27" s="220"/>
      <c r="OX27" s="218"/>
      <c r="OY27" s="218"/>
      <c r="OZ27" s="218"/>
      <c r="PA27" s="218"/>
      <c r="PB27" s="218"/>
      <c r="PC27" s="221"/>
      <c r="PD27" s="218"/>
      <c r="PE27" s="218"/>
      <c r="PF27" s="218"/>
      <c r="PG27" s="218"/>
      <c r="PH27" s="218"/>
      <c r="PI27" s="222"/>
      <c r="PJ27" s="217"/>
      <c r="PK27" s="218"/>
      <c r="PL27" s="218"/>
      <c r="PM27" s="218"/>
      <c r="PN27" s="218"/>
      <c r="PO27" s="219"/>
      <c r="PP27" s="218"/>
      <c r="PQ27" s="218"/>
      <c r="PR27" s="218"/>
      <c r="PS27" s="218"/>
      <c r="PT27" s="218"/>
      <c r="PU27" s="220"/>
      <c r="PV27" s="218"/>
      <c r="PW27" s="218"/>
      <c r="PX27" s="218"/>
      <c r="PY27" s="218"/>
      <c r="PZ27" s="218"/>
      <c r="QA27" s="221"/>
      <c r="QB27" s="218"/>
      <c r="QC27" s="218"/>
      <c r="QD27" s="218"/>
      <c r="QE27" s="218"/>
      <c r="QF27" s="218"/>
      <c r="QG27" s="220"/>
      <c r="QH27" s="218"/>
      <c r="QI27" s="218"/>
      <c r="QJ27" s="218"/>
      <c r="QK27" s="218"/>
      <c r="QL27" s="218"/>
      <c r="QM27" s="221"/>
      <c r="QN27" s="218"/>
      <c r="QO27" s="218"/>
      <c r="QP27" s="218"/>
      <c r="QQ27" s="218"/>
      <c r="QR27" s="218"/>
      <c r="QS27" s="220"/>
      <c r="QT27" s="218"/>
      <c r="QU27" s="218"/>
      <c r="QV27" s="218"/>
      <c r="QW27" s="218"/>
      <c r="QX27" s="218"/>
      <c r="QY27" s="221"/>
      <c r="QZ27" s="218"/>
      <c r="RA27" s="218"/>
      <c r="RB27" s="218"/>
      <c r="RC27" s="218"/>
      <c r="RD27" s="218"/>
      <c r="RE27" s="220"/>
      <c r="RF27" s="218"/>
      <c r="RG27" s="218"/>
      <c r="RH27" s="218"/>
      <c r="RI27" s="218"/>
      <c r="RJ27" s="218"/>
      <c r="RK27" s="221"/>
      <c r="RL27" s="218"/>
      <c r="RM27" s="218"/>
      <c r="RN27" s="218"/>
      <c r="RO27" s="218"/>
      <c r="RP27" s="218"/>
      <c r="RQ27" s="222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73"/>
    </row>
    <row r="28" spans="1:1326" ht="20.100000000000001" customHeight="1" x14ac:dyDescent="0.3">
      <c r="A28" s="78" t="s">
        <v>27</v>
      </c>
      <c r="B28" s="51" t="str">
        <f>IF(LEN(C41)=0,"",C41)</f>
        <v>Backend - Sécurité</v>
      </c>
      <c r="C28" s="169"/>
      <c r="D28" s="121" t="str">
        <f t="shared" si="0"/>
        <v>90h</v>
      </c>
      <c r="E28" s="22">
        <v>1080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73"/>
    </row>
    <row r="29" spans="1:1326" ht="20.100000000000001" customHeight="1" x14ac:dyDescent="0.25">
      <c r="A29" s="78" t="s">
        <v>26</v>
      </c>
      <c r="B29" s="51" t="str">
        <f>IF(LEN(C43)=0,"",C43)</f>
        <v>Backend - Système de recherche</v>
      </c>
      <c r="C29" s="163" t="s">
        <v>52</v>
      </c>
      <c r="D29" s="119" t="str">
        <f t="shared" si="0"/>
        <v>93h 55 min</v>
      </c>
      <c r="E29" s="26">
        <v>1127</v>
      </c>
      <c r="F29" s="211"/>
      <c r="G29" s="212"/>
      <c r="H29" s="212"/>
      <c r="I29" s="212"/>
      <c r="J29" s="212"/>
      <c r="K29" s="213"/>
      <c r="L29" s="212"/>
      <c r="M29" s="212"/>
      <c r="N29" s="212"/>
      <c r="O29" s="212"/>
      <c r="P29" s="212"/>
      <c r="Q29" s="214"/>
      <c r="R29" s="212"/>
      <c r="S29" s="212"/>
      <c r="T29" s="212"/>
      <c r="U29" s="212"/>
      <c r="V29" s="212"/>
      <c r="W29" s="215"/>
      <c r="X29" s="212"/>
      <c r="Y29" s="212"/>
      <c r="Z29" s="212"/>
      <c r="AA29" s="212"/>
      <c r="AB29" s="212"/>
      <c r="AC29" s="214"/>
      <c r="AD29" s="212"/>
      <c r="AE29" s="212"/>
      <c r="AF29" s="212"/>
      <c r="AG29" s="212"/>
      <c r="AH29" s="212"/>
      <c r="AI29" s="215"/>
      <c r="AJ29" s="212"/>
      <c r="AK29" s="212"/>
      <c r="AL29" s="212"/>
      <c r="AM29" s="212"/>
      <c r="AN29" s="212"/>
      <c r="AO29" s="214"/>
      <c r="AP29" s="212"/>
      <c r="AQ29" s="212"/>
      <c r="AR29" s="212"/>
      <c r="AS29" s="212"/>
      <c r="AT29" s="212"/>
      <c r="AU29" s="215"/>
      <c r="AV29" s="212"/>
      <c r="AW29" s="212"/>
      <c r="AX29" s="212"/>
      <c r="AY29" s="212"/>
      <c r="AZ29" s="212"/>
      <c r="BA29" s="214"/>
      <c r="BB29" s="212"/>
      <c r="BC29" s="212"/>
      <c r="BD29" s="212"/>
      <c r="BE29" s="212"/>
      <c r="BF29" s="212"/>
      <c r="BG29" s="215"/>
      <c r="BH29" s="212"/>
      <c r="BI29" s="212"/>
      <c r="BJ29" s="212"/>
      <c r="BK29" s="212"/>
      <c r="BL29" s="212"/>
      <c r="BM29" s="216"/>
      <c r="BN29" s="211"/>
      <c r="BO29" s="212"/>
      <c r="BP29" s="212"/>
      <c r="BQ29" s="212"/>
      <c r="BR29" s="212"/>
      <c r="BS29" s="213"/>
      <c r="BT29" s="212"/>
      <c r="BU29" s="212"/>
      <c r="BV29" s="212"/>
      <c r="BW29" s="212"/>
      <c r="BX29" s="212"/>
      <c r="BY29" s="214"/>
      <c r="BZ29" s="212"/>
      <c r="CA29" s="212"/>
      <c r="CB29" s="212"/>
      <c r="CC29" s="212"/>
      <c r="CD29" s="212"/>
      <c r="CE29" s="215"/>
      <c r="CF29" s="212"/>
      <c r="CG29" s="212"/>
      <c r="CH29" s="212"/>
      <c r="CI29" s="212"/>
      <c r="CJ29" s="212"/>
      <c r="CK29" s="214"/>
      <c r="CL29" s="212"/>
      <c r="CM29" s="212"/>
      <c r="CN29" s="212"/>
      <c r="CO29" s="212"/>
      <c r="CP29" s="212"/>
      <c r="CQ29" s="215"/>
      <c r="CR29" s="212"/>
      <c r="CS29" s="212"/>
      <c r="CT29" s="212"/>
      <c r="CU29" s="212"/>
      <c r="CV29" s="212"/>
      <c r="CW29" s="214"/>
      <c r="CX29" s="212"/>
      <c r="CY29" s="212"/>
      <c r="CZ29" s="212"/>
      <c r="DA29" s="212"/>
      <c r="DB29" s="212"/>
      <c r="DC29" s="215"/>
      <c r="DD29" s="212"/>
      <c r="DE29" s="212"/>
      <c r="DF29" s="212"/>
      <c r="DG29" s="212"/>
      <c r="DH29" s="212"/>
      <c r="DI29" s="214"/>
      <c r="DJ29" s="212"/>
      <c r="DK29" s="212"/>
      <c r="DL29" s="212"/>
      <c r="DM29" s="212"/>
      <c r="DN29" s="212"/>
      <c r="DO29" s="215"/>
      <c r="DP29" s="212"/>
      <c r="DQ29" s="212"/>
      <c r="DR29" s="212"/>
      <c r="DS29" s="212"/>
      <c r="DT29" s="212"/>
      <c r="DU29" s="216"/>
      <c r="DV29" s="211"/>
      <c r="DW29" s="212"/>
      <c r="DX29" s="212"/>
      <c r="DY29" s="212"/>
      <c r="DZ29" s="212"/>
      <c r="EA29" s="213"/>
      <c r="EB29" s="212"/>
      <c r="EC29" s="212"/>
      <c r="ED29" s="212"/>
      <c r="EE29" s="212"/>
      <c r="EF29" s="212"/>
      <c r="EG29" s="214"/>
      <c r="EH29" s="212"/>
      <c r="EI29" s="212"/>
      <c r="EJ29" s="212"/>
      <c r="EK29" s="212"/>
      <c r="EL29" s="212"/>
      <c r="EM29" s="215"/>
      <c r="EN29" s="212"/>
      <c r="EO29" s="212"/>
      <c r="EP29" s="212"/>
      <c r="EQ29" s="212"/>
      <c r="ER29" s="212"/>
      <c r="ES29" s="214"/>
      <c r="ET29" s="212"/>
      <c r="EU29" s="212"/>
      <c r="EV29" s="212"/>
      <c r="EW29" s="212"/>
      <c r="EX29" s="212"/>
      <c r="EY29" s="215"/>
      <c r="EZ29" s="212"/>
      <c r="FA29" s="212"/>
      <c r="FB29" s="212"/>
      <c r="FC29" s="212"/>
      <c r="FD29" s="212"/>
      <c r="FE29" s="214"/>
      <c r="FF29" s="212"/>
      <c r="FG29" s="212"/>
      <c r="FH29" s="212"/>
      <c r="FI29" s="212"/>
      <c r="FJ29" s="212"/>
      <c r="FK29" s="215"/>
      <c r="FL29" s="212"/>
      <c r="FM29" s="212"/>
      <c r="FN29" s="212"/>
      <c r="FO29" s="212"/>
      <c r="FP29" s="212"/>
      <c r="FQ29" s="214"/>
      <c r="FR29" s="212"/>
      <c r="FS29" s="212"/>
      <c r="FT29" s="212"/>
      <c r="FU29" s="212"/>
      <c r="FV29" s="212"/>
      <c r="FW29" s="215"/>
      <c r="FX29" s="212"/>
      <c r="FY29" s="212"/>
      <c r="FZ29" s="212"/>
      <c r="GA29" s="212"/>
      <c r="GB29" s="212"/>
      <c r="GC29" s="216"/>
      <c r="GD29" s="211"/>
      <c r="GE29" s="212"/>
      <c r="GF29" s="212"/>
      <c r="GG29" s="212"/>
      <c r="GH29" s="212"/>
      <c r="GI29" s="213"/>
      <c r="GJ29" s="212"/>
      <c r="GK29" s="212"/>
      <c r="GL29" s="212"/>
      <c r="GM29" s="212"/>
      <c r="GN29" s="212"/>
      <c r="GO29" s="214"/>
      <c r="GP29" s="212"/>
      <c r="GQ29" s="212"/>
      <c r="GR29" s="212"/>
      <c r="GS29" s="212"/>
      <c r="GT29" s="212"/>
      <c r="GU29" s="215"/>
      <c r="GV29" s="212"/>
      <c r="GW29" s="212"/>
      <c r="GX29" s="212"/>
      <c r="GY29" s="212"/>
      <c r="GZ29" s="212"/>
      <c r="HA29" s="214"/>
      <c r="HB29" s="212"/>
      <c r="HC29" s="212"/>
      <c r="HD29" s="212"/>
      <c r="HE29" s="212"/>
      <c r="HF29" s="212"/>
      <c r="HG29" s="215"/>
      <c r="HH29" s="212"/>
      <c r="HI29" s="212"/>
      <c r="HJ29" s="212"/>
      <c r="HK29" s="212"/>
      <c r="HL29" s="212"/>
      <c r="HM29" s="214"/>
      <c r="HN29" s="212"/>
      <c r="HO29" s="212"/>
      <c r="HP29" s="212"/>
      <c r="HQ29" s="212"/>
      <c r="HR29" s="212"/>
      <c r="HS29" s="215"/>
      <c r="HT29" s="212"/>
      <c r="HU29" s="212"/>
      <c r="HV29" s="212"/>
      <c r="HW29" s="212"/>
      <c r="HX29" s="212"/>
      <c r="HY29" s="214"/>
      <c r="HZ29" s="212"/>
      <c r="IA29" s="212"/>
      <c r="IB29" s="212"/>
      <c r="IC29" s="212"/>
      <c r="ID29" s="212"/>
      <c r="IE29" s="215"/>
      <c r="IF29" s="212"/>
      <c r="IG29" s="212"/>
      <c r="IH29" s="212"/>
      <c r="II29" s="212"/>
      <c r="IJ29" s="212"/>
      <c r="IK29" s="216"/>
      <c r="IL29" s="211"/>
      <c r="IM29" s="212"/>
      <c r="IN29" s="212"/>
      <c r="IO29" s="212"/>
      <c r="IP29" s="212"/>
      <c r="IQ29" s="213"/>
      <c r="IR29" s="212"/>
      <c r="IS29" s="212"/>
      <c r="IT29" s="212"/>
      <c r="IU29" s="212"/>
      <c r="IV29" s="212"/>
      <c r="IW29" s="214"/>
      <c r="IX29" s="212"/>
      <c r="IY29" s="212"/>
      <c r="IZ29" s="212"/>
      <c r="JA29" s="212"/>
      <c r="JB29" s="212"/>
      <c r="JC29" s="215"/>
      <c r="JD29" s="212"/>
      <c r="JE29" s="212"/>
      <c r="JF29" s="212"/>
      <c r="JG29" s="212"/>
      <c r="JH29" s="212"/>
      <c r="JI29" s="214"/>
      <c r="JJ29" s="212"/>
      <c r="JK29" s="212"/>
      <c r="JL29" s="212"/>
      <c r="JM29" s="212"/>
      <c r="JN29" s="212"/>
      <c r="JO29" s="215"/>
      <c r="JP29" s="212"/>
      <c r="JQ29" s="226"/>
      <c r="JR29" s="226"/>
      <c r="JS29" s="226"/>
      <c r="JT29" s="226"/>
      <c r="JU29" s="227"/>
      <c r="JV29" s="226"/>
      <c r="JW29" s="226"/>
      <c r="JX29" s="226"/>
      <c r="JY29" s="226"/>
      <c r="JZ29" s="226"/>
      <c r="KA29" s="228"/>
      <c r="KB29" s="226"/>
      <c r="KC29" s="226"/>
      <c r="KD29" s="226"/>
      <c r="KE29" s="212"/>
      <c r="KF29" s="212"/>
      <c r="KG29" s="214"/>
      <c r="KH29" s="212"/>
      <c r="KI29" s="212"/>
      <c r="KJ29" s="212"/>
      <c r="KK29" s="212"/>
      <c r="KL29" s="212"/>
      <c r="KM29" s="215"/>
      <c r="KN29" s="212"/>
      <c r="KO29" s="212"/>
      <c r="KP29" s="212"/>
      <c r="KQ29" s="212"/>
      <c r="KR29" s="212"/>
      <c r="KS29" s="216"/>
      <c r="KT29" s="231"/>
      <c r="KU29" s="226"/>
      <c r="KV29" s="226"/>
      <c r="KW29" s="226"/>
      <c r="KX29" s="226"/>
      <c r="KY29" s="232"/>
      <c r="KZ29" s="226"/>
      <c r="LA29" s="226"/>
      <c r="LB29" s="226"/>
      <c r="LC29" s="226"/>
      <c r="LD29" s="226"/>
      <c r="LE29" s="227"/>
      <c r="LF29" s="226"/>
      <c r="LG29" s="226"/>
      <c r="LH29" s="226"/>
      <c r="LI29" s="226"/>
      <c r="LJ29" s="226"/>
      <c r="LK29" s="228"/>
      <c r="LL29" s="226"/>
      <c r="LM29" s="226"/>
      <c r="LN29" s="226"/>
      <c r="LO29" s="226"/>
      <c r="LP29" s="226"/>
      <c r="LQ29" s="227"/>
      <c r="LR29" s="226"/>
      <c r="LS29" s="226"/>
      <c r="LT29" s="226"/>
      <c r="LU29" s="226"/>
      <c r="LV29" s="226"/>
      <c r="LW29" s="228"/>
      <c r="LX29" s="226"/>
      <c r="LY29" s="226"/>
      <c r="LZ29" s="226"/>
      <c r="MA29" s="212"/>
      <c r="MB29" s="212"/>
      <c r="MC29" s="214"/>
      <c r="MD29" s="212"/>
      <c r="ME29" s="212"/>
      <c r="MF29" s="212"/>
      <c r="MG29" s="212"/>
      <c r="MH29" s="212"/>
      <c r="MI29" s="215"/>
      <c r="MJ29" s="212"/>
      <c r="MK29" s="212"/>
      <c r="ML29" s="212"/>
      <c r="MM29" s="212"/>
      <c r="MN29" s="212"/>
      <c r="MO29" s="214"/>
      <c r="MP29" s="212"/>
      <c r="MQ29" s="212"/>
      <c r="MR29" s="212"/>
      <c r="MS29" s="212"/>
      <c r="MT29" s="212"/>
      <c r="MU29" s="215"/>
      <c r="MV29" s="212"/>
      <c r="MW29" s="212"/>
      <c r="MX29" s="212"/>
      <c r="MY29" s="212"/>
      <c r="MZ29" s="212"/>
      <c r="NA29" s="216"/>
      <c r="NB29" s="211"/>
      <c r="NC29" s="212"/>
      <c r="ND29" s="212"/>
      <c r="NE29" s="212"/>
      <c r="NF29" s="212"/>
      <c r="NG29" s="213"/>
      <c r="NH29" s="212"/>
      <c r="NI29" s="212"/>
      <c r="NJ29" s="212"/>
      <c r="NK29" s="212"/>
      <c r="NL29" s="212"/>
      <c r="NM29" s="214"/>
      <c r="NN29" s="212"/>
      <c r="NO29" s="212"/>
      <c r="NP29" s="212"/>
      <c r="NQ29" s="212"/>
      <c r="NR29" s="212"/>
      <c r="NS29" s="215"/>
      <c r="NT29" s="212"/>
      <c r="NU29" s="212"/>
      <c r="NV29" s="212"/>
      <c r="NW29" s="212"/>
      <c r="NX29" s="212"/>
      <c r="NY29" s="214"/>
      <c r="NZ29" s="212"/>
      <c r="OA29" s="212"/>
      <c r="OB29" s="212"/>
      <c r="OC29" s="212"/>
      <c r="OD29" s="212"/>
      <c r="OE29" s="215"/>
      <c r="OF29" s="212"/>
      <c r="OG29" s="212"/>
      <c r="OH29" s="212"/>
      <c r="OI29" s="212"/>
      <c r="OJ29" s="212"/>
      <c r="OK29" s="214"/>
      <c r="OL29" s="212"/>
      <c r="OM29" s="212"/>
      <c r="ON29" s="212"/>
      <c r="OO29" s="212"/>
      <c r="OP29" s="212"/>
      <c r="OQ29" s="215"/>
      <c r="OR29" s="212"/>
      <c r="OS29" s="212"/>
      <c r="OT29" s="212"/>
      <c r="OU29" s="212"/>
      <c r="OV29" s="212"/>
      <c r="OW29" s="214"/>
      <c r="OX29" s="212"/>
      <c r="OY29" s="212"/>
      <c r="OZ29" s="212"/>
      <c r="PA29" s="212"/>
      <c r="PB29" s="212"/>
      <c r="PC29" s="215"/>
      <c r="PD29" s="212"/>
      <c r="PE29" s="212"/>
      <c r="PF29" s="212"/>
      <c r="PG29" s="212"/>
      <c r="PH29" s="212"/>
      <c r="PI29" s="216"/>
      <c r="PJ29" s="211"/>
      <c r="PK29" s="212"/>
      <c r="PL29" s="212"/>
      <c r="PM29" s="212"/>
      <c r="PN29" s="212"/>
      <c r="PO29" s="213"/>
      <c r="PP29" s="212"/>
      <c r="PQ29" s="212"/>
      <c r="PR29" s="212"/>
      <c r="PS29" s="212"/>
      <c r="PT29" s="212"/>
      <c r="PU29" s="214"/>
      <c r="PV29" s="212"/>
      <c r="PW29" s="212"/>
      <c r="PX29" s="212"/>
      <c r="PY29" s="212"/>
      <c r="PZ29" s="212"/>
      <c r="QA29" s="215"/>
      <c r="QB29" s="212"/>
      <c r="QC29" s="212"/>
      <c r="QD29" s="212"/>
      <c r="QE29" s="212"/>
      <c r="QF29" s="212"/>
      <c r="QG29" s="214"/>
      <c r="QH29" s="212"/>
      <c r="QI29" s="212"/>
      <c r="QJ29" s="212"/>
      <c r="QK29" s="212"/>
      <c r="QL29" s="212"/>
      <c r="QM29" s="215"/>
      <c r="QN29" s="212"/>
      <c r="QO29" s="212"/>
      <c r="QP29" s="212"/>
      <c r="QQ29" s="212"/>
      <c r="QR29" s="212"/>
      <c r="QS29" s="214"/>
      <c r="QT29" s="212"/>
      <c r="QU29" s="212"/>
      <c r="QV29" s="212"/>
      <c r="QW29" s="212"/>
      <c r="QX29" s="212"/>
      <c r="QY29" s="215"/>
      <c r="QZ29" s="212"/>
      <c r="RA29" s="212"/>
      <c r="RB29" s="212"/>
      <c r="RC29" s="212"/>
      <c r="RD29" s="212"/>
      <c r="RE29" s="214"/>
      <c r="RF29" s="212"/>
      <c r="RG29" s="212"/>
      <c r="RH29" s="212"/>
      <c r="RI29" s="212"/>
      <c r="RJ29" s="212"/>
      <c r="RK29" s="215"/>
      <c r="RL29" s="212"/>
      <c r="RM29" s="212"/>
      <c r="RN29" s="212"/>
      <c r="RO29" s="212"/>
      <c r="RP29" s="212"/>
      <c r="RQ29" s="216"/>
      <c r="RR29" s="27"/>
      <c r="RS29" s="28"/>
      <c r="RT29" s="28"/>
      <c r="RU29" s="28"/>
      <c r="RV29" s="28"/>
      <c r="RW29" s="105"/>
      <c r="RX29" s="28"/>
      <c r="RY29" s="2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05"/>
      <c r="UF29" s="28"/>
      <c r="UG29" s="2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28"/>
      <c r="VE29" s="28"/>
      <c r="VF29" s="28"/>
      <c r="VG29" s="28"/>
      <c r="VH29" s="28"/>
      <c r="VI29" s="110"/>
      <c r="VJ29" s="28"/>
      <c r="VK29" s="2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28"/>
      <c r="XA29" s="28"/>
      <c r="XB29" s="28"/>
      <c r="XC29" s="28"/>
      <c r="XD29" s="28"/>
      <c r="XE29" s="110"/>
      <c r="XF29" s="28"/>
      <c r="XG29" s="2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57"/>
      <c r="XX29" s="28"/>
      <c r="XY29" s="28"/>
      <c r="XZ29" s="28"/>
      <c r="YA29" s="28"/>
      <c r="YB29" s="28"/>
      <c r="YC29" s="110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28"/>
      <c r="YX29" s="28"/>
      <c r="YY29" s="28"/>
      <c r="YZ29" s="28"/>
      <c r="ZA29" s="110"/>
      <c r="ZB29" s="2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28"/>
      <c r="ZV29" s="28"/>
      <c r="ZW29" s="28"/>
      <c r="ZX29" s="28"/>
      <c r="ZY29" s="110"/>
      <c r="ZZ29" s="28"/>
      <c r="AAA29" s="2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28"/>
      <c r="ABK29" s="28"/>
      <c r="ABL29" s="28"/>
      <c r="ABM29" s="28"/>
      <c r="ABN29" s="28"/>
      <c r="ABO29" s="57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28"/>
      <c r="ADQ29" s="110"/>
      <c r="ADR29" s="28"/>
      <c r="ADS29" s="28"/>
      <c r="ADT29" s="28"/>
      <c r="ADU29" s="28"/>
      <c r="ADV29" s="28"/>
      <c r="ADW29" s="57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28"/>
      <c r="AGS29" s="28"/>
      <c r="AGT29" s="28"/>
      <c r="AGU29" s="28"/>
      <c r="AGV29" s="28"/>
      <c r="AGW29" s="110"/>
      <c r="AGX29" s="28"/>
      <c r="AGY29" s="2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28"/>
      <c r="AJA29" s="28"/>
      <c r="AJB29" s="28"/>
      <c r="AJC29" s="28"/>
      <c r="AJD29" s="28"/>
      <c r="AJE29" s="110"/>
      <c r="AJF29" s="28"/>
      <c r="AJG29" s="2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28"/>
      <c r="APY29" s="28"/>
      <c r="APZ29" s="28"/>
      <c r="AQA29" s="28"/>
      <c r="AQB29" s="28"/>
      <c r="AQC29" s="110"/>
      <c r="AQD29" s="28"/>
      <c r="AQE29" s="2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73"/>
    </row>
    <row r="30" spans="1:1326" ht="20.100000000000001" customHeight="1" x14ac:dyDescent="0.3">
      <c r="A30" s="78" t="s">
        <v>27</v>
      </c>
      <c r="B30" s="51" t="str">
        <f>IF(LEN(C45)=0,"",C45)</f>
        <v>Déploiement - Azure DB</v>
      </c>
      <c r="C30" s="164"/>
      <c r="D30" s="121" t="str">
        <f t="shared" si="0"/>
        <v>90h</v>
      </c>
      <c r="E30" s="30">
        <v>1080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06"/>
      <c r="EB30" s="32"/>
      <c r="EC30" s="32"/>
      <c r="ED30" s="32"/>
      <c r="EE30" s="32"/>
      <c r="EF30" s="32"/>
      <c r="EG30" s="111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73"/>
    </row>
    <row r="31" spans="1:1326" ht="20.100000000000001" customHeight="1" x14ac:dyDescent="0.25">
      <c r="A31" s="78" t="s">
        <v>26</v>
      </c>
      <c r="B31" s="51" t="str">
        <f>IF(LEN(C47)=0,"",C47)</f>
        <v>Déploiement - Azure Static Web App (Frontend)</v>
      </c>
      <c r="C31" s="163" t="s">
        <v>53</v>
      </c>
      <c r="D31" s="119" t="str">
        <f t="shared" si="0"/>
        <v>90h</v>
      </c>
      <c r="E31" s="34">
        <v>1080</v>
      </c>
      <c r="F31" s="217"/>
      <c r="G31" s="218"/>
      <c r="H31" s="218"/>
      <c r="I31" s="218"/>
      <c r="J31" s="218"/>
      <c r="K31" s="219"/>
      <c r="L31" s="218"/>
      <c r="M31" s="218"/>
      <c r="N31" s="218"/>
      <c r="O31" s="218"/>
      <c r="P31" s="218"/>
      <c r="Q31" s="220"/>
      <c r="R31" s="218"/>
      <c r="S31" s="218"/>
      <c r="T31" s="218"/>
      <c r="U31" s="218"/>
      <c r="V31" s="218"/>
      <c r="W31" s="221"/>
      <c r="X31" s="218"/>
      <c r="Y31" s="218"/>
      <c r="Z31" s="218"/>
      <c r="AA31" s="218"/>
      <c r="AB31" s="218"/>
      <c r="AC31" s="220"/>
      <c r="AD31" s="218"/>
      <c r="AE31" s="218"/>
      <c r="AF31" s="218"/>
      <c r="AG31" s="218"/>
      <c r="AH31" s="218"/>
      <c r="AI31" s="221"/>
      <c r="AJ31" s="218"/>
      <c r="AK31" s="218"/>
      <c r="AL31" s="218"/>
      <c r="AM31" s="218"/>
      <c r="AN31" s="218"/>
      <c r="AO31" s="220"/>
      <c r="AP31" s="218"/>
      <c r="AQ31" s="218"/>
      <c r="AR31" s="218"/>
      <c r="AS31" s="218"/>
      <c r="AT31" s="218"/>
      <c r="AU31" s="221"/>
      <c r="AV31" s="218"/>
      <c r="AW31" s="218"/>
      <c r="AX31" s="218"/>
      <c r="AY31" s="218"/>
      <c r="AZ31" s="218"/>
      <c r="BA31" s="220"/>
      <c r="BB31" s="218"/>
      <c r="BC31" s="218"/>
      <c r="BD31" s="218"/>
      <c r="BE31" s="218"/>
      <c r="BF31" s="218"/>
      <c r="BG31" s="221"/>
      <c r="BH31" s="218"/>
      <c r="BI31" s="218"/>
      <c r="BJ31" s="218"/>
      <c r="BK31" s="218"/>
      <c r="BL31" s="218"/>
      <c r="BM31" s="222"/>
      <c r="BN31" s="217"/>
      <c r="BO31" s="218"/>
      <c r="BP31" s="218"/>
      <c r="BQ31" s="218"/>
      <c r="BR31" s="218"/>
      <c r="BS31" s="219"/>
      <c r="BT31" s="218"/>
      <c r="BU31" s="218"/>
      <c r="BV31" s="218"/>
      <c r="BW31" s="218"/>
      <c r="BX31" s="218"/>
      <c r="BY31" s="220"/>
      <c r="BZ31" s="218"/>
      <c r="CA31" s="218"/>
      <c r="CB31" s="218"/>
      <c r="CC31" s="218"/>
      <c r="CD31" s="218"/>
      <c r="CE31" s="221"/>
      <c r="CF31" s="218"/>
      <c r="CG31" s="218"/>
      <c r="CH31" s="218"/>
      <c r="CI31" s="218"/>
      <c r="CJ31" s="218"/>
      <c r="CK31" s="220"/>
      <c r="CL31" s="218"/>
      <c r="CM31" s="218"/>
      <c r="CN31" s="218"/>
      <c r="CO31" s="218"/>
      <c r="CP31" s="218"/>
      <c r="CQ31" s="221"/>
      <c r="CR31" s="218"/>
      <c r="CS31" s="218"/>
      <c r="CT31" s="218"/>
      <c r="CU31" s="218"/>
      <c r="CV31" s="218"/>
      <c r="CW31" s="220"/>
      <c r="CX31" s="218"/>
      <c r="CY31" s="218"/>
      <c r="CZ31" s="218"/>
      <c r="DA31" s="218"/>
      <c r="DB31" s="218"/>
      <c r="DC31" s="221"/>
      <c r="DD31" s="218"/>
      <c r="DE31" s="218"/>
      <c r="DF31" s="218"/>
      <c r="DG31" s="218"/>
      <c r="DH31" s="218"/>
      <c r="DI31" s="220"/>
      <c r="DJ31" s="218"/>
      <c r="DK31" s="218"/>
      <c r="DL31" s="218"/>
      <c r="DM31" s="218"/>
      <c r="DN31" s="218"/>
      <c r="DO31" s="221"/>
      <c r="DP31" s="218"/>
      <c r="DQ31" s="218"/>
      <c r="DR31" s="218"/>
      <c r="DS31" s="218"/>
      <c r="DT31" s="218"/>
      <c r="DU31" s="222"/>
      <c r="DV31" s="217"/>
      <c r="DW31" s="218"/>
      <c r="DX31" s="218"/>
      <c r="DY31" s="218"/>
      <c r="DZ31" s="218"/>
      <c r="EA31" s="219"/>
      <c r="EB31" s="218"/>
      <c r="EC31" s="218"/>
      <c r="ED31" s="218"/>
      <c r="EE31" s="218"/>
      <c r="EF31" s="218"/>
      <c r="EG31" s="220"/>
      <c r="EH31" s="218"/>
      <c r="EI31" s="218"/>
      <c r="EJ31" s="218"/>
      <c r="EK31" s="218"/>
      <c r="EL31" s="218"/>
      <c r="EM31" s="221"/>
      <c r="EN31" s="218"/>
      <c r="EO31" s="218"/>
      <c r="EP31" s="218"/>
      <c r="EQ31" s="218"/>
      <c r="ER31" s="218"/>
      <c r="ES31" s="220"/>
      <c r="ET31" s="218"/>
      <c r="EU31" s="218"/>
      <c r="EV31" s="218"/>
      <c r="EW31" s="218"/>
      <c r="EX31" s="218"/>
      <c r="EY31" s="221"/>
      <c r="EZ31" s="218"/>
      <c r="FA31" s="218"/>
      <c r="FB31" s="218"/>
      <c r="FC31" s="218"/>
      <c r="FD31" s="218"/>
      <c r="FE31" s="220"/>
      <c r="FF31" s="218"/>
      <c r="FG31" s="218"/>
      <c r="FH31" s="218"/>
      <c r="FI31" s="218"/>
      <c r="FJ31" s="218"/>
      <c r="FK31" s="221"/>
      <c r="FL31" s="218"/>
      <c r="FM31" s="218"/>
      <c r="FN31" s="218"/>
      <c r="FO31" s="218"/>
      <c r="FP31" s="218"/>
      <c r="FQ31" s="220"/>
      <c r="FR31" s="218"/>
      <c r="FS31" s="218"/>
      <c r="FT31" s="218"/>
      <c r="FU31" s="218"/>
      <c r="FV31" s="218"/>
      <c r="FW31" s="221"/>
      <c r="FX31" s="218"/>
      <c r="FY31" s="218"/>
      <c r="FZ31" s="218"/>
      <c r="GA31" s="218"/>
      <c r="GB31" s="218"/>
      <c r="GC31" s="222"/>
      <c r="GD31" s="217"/>
      <c r="GE31" s="218"/>
      <c r="GF31" s="218"/>
      <c r="GG31" s="218"/>
      <c r="GH31" s="218"/>
      <c r="GI31" s="219"/>
      <c r="GJ31" s="218"/>
      <c r="GK31" s="218"/>
      <c r="GL31" s="218"/>
      <c r="GM31" s="218"/>
      <c r="GN31" s="218"/>
      <c r="GO31" s="220"/>
      <c r="GP31" s="218"/>
      <c r="GQ31" s="218"/>
      <c r="GR31" s="218"/>
      <c r="GS31" s="218"/>
      <c r="GT31" s="218"/>
      <c r="GU31" s="221"/>
      <c r="GV31" s="218"/>
      <c r="GW31" s="218"/>
      <c r="GX31" s="218"/>
      <c r="GY31" s="218"/>
      <c r="GZ31" s="218"/>
      <c r="HA31" s="220"/>
      <c r="HB31" s="218"/>
      <c r="HC31" s="218"/>
      <c r="HD31" s="218"/>
      <c r="HE31" s="218"/>
      <c r="HF31" s="218"/>
      <c r="HG31" s="221"/>
      <c r="HH31" s="218"/>
      <c r="HI31" s="218"/>
      <c r="HJ31" s="218"/>
      <c r="HK31" s="218"/>
      <c r="HL31" s="218"/>
      <c r="HM31" s="220"/>
      <c r="HN31" s="218"/>
      <c r="HO31" s="218"/>
      <c r="HP31" s="218"/>
      <c r="HQ31" s="218"/>
      <c r="HR31" s="218"/>
      <c r="HS31" s="221"/>
      <c r="HT31" s="218"/>
      <c r="HU31" s="218"/>
      <c r="HV31" s="218"/>
      <c r="HW31" s="218"/>
      <c r="HX31" s="218"/>
      <c r="HY31" s="220"/>
      <c r="HZ31" s="218"/>
      <c r="IA31" s="218"/>
      <c r="IB31" s="218"/>
      <c r="IC31" s="218"/>
      <c r="ID31" s="218"/>
      <c r="IE31" s="221"/>
      <c r="IF31" s="218"/>
      <c r="IG31" s="218"/>
      <c r="IH31" s="218"/>
      <c r="II31" s="218"/>
      <c r="IJ31" s="218"/>
      <c r="IK31" s="222"/>
      <c r="IL31" s="217"/>
      <c r="IM31" s="218"/>
      <c r="IN31" s="218"/>
      <c r="IO31" s="218"/>
      <c r="IP31" s="218"/>
      <c r="IQ31" s="219"/>
      <c r="IR31" s="218"/>
      <c r="IS31" s="218"/>
      <c r="IT31" s="218"/>
      <c r="IU31" s="218"/>
      <c r="IV31" s="218"/>
      <c r="IW31" s="220"/>
      <c r="IX31" s="218"/>
      <c r="IY31" s="218"/>
      <c r="IZ31" s="218"/>
      <c r="JA31" s="218"/>
      <c r="JB31" s="218"/>
      <c r="JC31" s="221"/>
      <c r="JD31" s="218"/>
      <c r="JE31" s="218"/>
      <c r="JF31" s="218"/>
      <c r="JG31" s="218"/>
      <c r="JH31" s="218"/>
      <c r="JI31" s="220"/>
      <c r="JJ31" s="218"/>
      <c r="JK31" s="218"/>
      <c r="JL31" s="218"/>
      <c r="JM31" s="218"/>
      <c r="JN31" s="218"/>
      <c r="JO31" s="221"/>
      <c r="JP31" s="218"/>
      <c r="JQ31" s="218"/>
      <c r="JR31" s="218"/>
      <c r="JS31" s="218"/>
      <c r="JT31" s="218"/>
      <c r="JU31" s="220"/>
      <c r="JV31" s="218"/>
      <c r="JW31" s="218"/>
      <c r="JX31" s="218"/>
      <c r="JY31" s="218"/>
      <c r="JZ31" s="218"/>
      <c r="KA31" s="221"/>
      <c r="KB31" s="218"/>
      <c r="KC31" s="218"/>
      <c r="KD31" s="218"/>
      <c r="KE31" s="218"/>
      <c r="KF31" s="218"/>
      <c r="KG31" s="220"/>
      <c r="KH31" s="218"/>
      <c r="KI31" s="218"/>
      <c r="KJ31" s="218"/>
      <c r="KK31" s="218"/>
      <c r="KL31" s="218"/>
      <c r="KM31" s="221"/>
      <c r="KN31" s="218"/>
      <c r="KO31" s="218"/>
      <c r="KP31" s="218"/>
      <c r="KQ31" s="218"/>
      <c r="KR31" s="218"/>
      <c r="KS31" s="222"/>
      <c r="KT31" s="217"/>
      <c r="KU31" s="218"/>
      <c r="KV31" s="218"/>
      <c r="KW31" s="218"/>
      <c r="KX31" s="218"/>
      <c r="KY31" s="219"/>
      <c r="KZ31" s="218"/>
      <c r="LA31" s="218"/>
      <c r="LB31" s="218"/>
      <c r="LC31" s="218"/>
      <c r="LD31" s="218"/>
      <c r="LE31" s="220"/>
      <c r="LF31" s="218"/>
      <c r="LG31" s="218"/>
      <c r="LH31" s="218"/>
      <c r="LI31" s="218"/>
      <c r="LJ31" s="218"/>
      <c r="LK31" s="221"/>
      <c r="LL31" s="218"/>
      <c r="LM31" s="218"/>
      <c r="LN31" s="218"/>
      <c r="LO31" s="218"/>
      <c r="LP31" s="218"/>
      <c r="LQ31" s="220"/>
      <c r="LR31" s="218"/>
      <c r="LS31" s="218"/>
      <c r="LT31" s="218"/>
      <c r="LU31" s="218"/>
      <c r="LV31" s="218"/>
      <c r="LW31" s="221"/>
      <c r="LX31" s="218"/>
      <c r="LY31" s="218"/>
      <c r="LZ31" s="218"/>
      <c r="MA31" s="218"/>
      <c r="MB31" s="218"/>
      <c r="MC31" s="220"/>
      <c r="MD31" s="218"/>
      <c r="ME31" s="218"/>
      <c r="MF31" s="218"/>
      <c r="MG31" s="218"/>
      <c r="MH31" s="218"/>
      <c r="MI31" s="221"/>
      <c r="MJ31" s="218"/>
      <c r="MK31" s="218"/>
      <c r="ML31" s="218"/>
      <c r="MM31" s="218"/>
      <c r="MN31" s="218"/>
      <c r="MO31" s="220"/>
      <c r="MP31" s="218"/>
      <c r="MQ31" s="218"/>
      <c r="MR31" s="218"/>
      <c r="MS31" s="218"/>
      <c r="MT31" s="218"/>
      <c r="MU31" s="221"/>
      <c r="MV31" s="218"/>
      <c r="MW31" s="218"/>
      <c r="MX31" s="218"/>
      <c r="MY31" s="218"/>
      <c r="MZ31" s="218"/>
      <c r="NA31" s="222"/>
      <c r="NB31" s="217"/>
      <c r="NC31" s="218"/>
      <c r="ND31" s="218"/>
      <c r="NE31" s="218"/>
      <c r="NF31" s="218"/>
      <c r="NG31" s="219"/>
      <c r="NH31" s="218"/>
      <c r="NI31" s="218"/>
      <c r="NJ31" s="218"/>
      <c r="NK31" s="218"/>
      <c r="NL31" s="218"/>
      <c r="NM31" s="220"/>
      <c r="NN31" s="218"/>
      <c r="NO31" s="218"/>
      <c r="NP31" s="218"/>
      <c r="NQ31" s="218"/>
      <c r="NR31" s="218"/>
      <c r="NS31" s="221"/>
      <c r="NT31" s="218"/>
      <c r="NU31" s="218"/>
      <c r="NV31" s="218"/>
      <c r="NW31" s="218"/>
      <c r="NX31" s="218"/>
      <c r="NY31" s="220"/>
      <c r="NZ31" s="218"/>
      <c r="OA31" s="218"/>
      <c r="OB31" s="218"/>
      <c r="OC31" s="218"/>
      <c r="OD31" s="218"/>
      <c r="OE31" s="221"/>
      <c r="OF31" s="218"/>
      <c r="OG31" s="218"/>
      <c r="OH31" s="218"/>
      <c r="OI31" s="218"/>
      <c r="OJ31" s="218"/>
      <c r="OK31" s="220"/>
      <c r="OL31" s="218"/>
      <c r="OM31" s="218"/>
      <c r="ON31" s="218"/>
      <c r="OO31" s="218"/>
      <c r="OP31" s="218"/>
      <c r="OQ31" s="221"/>
      <c r="OR31" s="218"/>
      <c r="OS31" s="218"/>
      <c r="OT31" s="218"/>
      <c r="OU31" s="218"/>
      <c r="OV31" s="218"/>
      <c r="OW31" s="220"/>
      <c r="OX31" s="218"/>
      <c r="OY31" s="218"/>
      <c r="OZ31" s="218"/>
      <c r="PA31" s="218"/>
      <c r="PB31" s="218"/>
      <c r="PC31" s="221"/>
      <c r="PD31" s="218"/>
      <c r="PE31" s="218"/>
      <c r="PF31" s="218"/>
      <c r="PG31" s="218"/>
      <c r="PH31" s="218"/>
      <c r="PI31" s="222"/>
      <c r="PJ31" s="217"/>
      <c r="PK31" s="218"/>
      <c r="PL31" s="218"/>
      <c r="PM31" s="218"/>
      <c r="PN31" s="218"/>
      <c r="PO31" s="219"/>
      <c r="PP31" s="218"/>
      <c r="PQ31" s="218"/>
      <c r="PR31" s="218"/>
      <c r="PS31" s="218"/>
      <c r="PT31" s="218"/>
      <c r="PU31" s="220"/>
      <c r="PV31" s="218"/>
      <c r="PW31" s="218"/>
      <c r="PX31" s="218"/>
      <c r="PY31" s="218"/>
      <c r="PZ31" s="218"/>
      <c r="QA31" s="221"/>
      <c r="QB31" s="218"/>
      <c r="QC31" s="218"/>
      <c r="QD31" s="218"/>
      <c r="QE31" s="218"/>
      <c r="QF31" s="218"/>
      <c r="QG31" s="220"/>
      <c r="QH31" s="218"/>
      <c r="QI31" s="218"/>
      <c r="QJ31" s="218"/>
      <c r="QK31" s="218"/>
      <c r="QL31" s="218"/>
      <c r="QM31" s="221"/>
      <c r="QN31" s="218"/>
      <c r="QO31" s="218"/>
      <c r="QP31" s="218"/>
      <c r="QQ31" s="218"/>
      <c r="QR31" s="218"/>
      <c r="QS31" s="220"/>
      <c r="QT31" s="218"/>
      <c r="QU31" s="218"/>
      <c r="QV31" s="218"/>
      <c r="QW31" s="218"/>
      <c r="QX31" s="218"/>
      <c r="QY31" s="221"/>
      <c r="QZ31" s="218"/>
      <c r="RA31" s="218"/>
      <c r="RB31" s="218"/>
      <c r="RC31" s="218"/>
      <c r="RD31" s="218"/>
      <c r="RE31" s="220"/>
      <c r="RF31" s="218"/>
      <c r="RG31" s="218"/>
      <c r="RH31" s="218"/>
      <c r="RI31" s="218"/>
      <c r="RJ31" s="218"/>
      <c r="RK31" s="221"/>
      <c r="RL31" s="218"/>
      <c r="RM31" s="218"/>
      <c r="RN31" s="218"/>
      <c r="RO31" s="218"/>
      <c r="RP31" s="218"/>
      <c r="RQ31" s="222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07"/>
      <c r="AKJ31" s="36"/>
      <c r="AKK31" s="36"/>
      <c r="AKL31" s="36"/>
      <c r="AKM31" s="36"/>
      <c r="AKN31" s="36"/>
      <c r="AKO31" s="112"/>
      <c r="AKP31" s="36"/>
      <c r="AKQ31" s="36"/>
      <c r="AKR31" s="36"/>
      <c r="AKS31" s="36"/>
      <c r="AKT31" s="36"/>
      <c r="AKU31" s="59"/>
      <c r="AKV31" s="36"/>
      <c r="AKW31" s="36"/>
      <c r="AKX31" s="36"/>
      <c r="AKY31" s="36"/>
      <c r="AKZ31" s="36"/>
      <c r="ALA31" s="112"/>
      <c r="ALB31" s="36"/>
      <c r="ALC31" s="36"/>
      <c r="ALD31" s="36"/>
      <c r="ALE31" s="36"/>
      <c r="ALF31" s="36"/>
      <c r="ALG31" s="59"/>
      <c r="ALH31" s="36"/>
      <c r="ALI31" s="36"/>
      <c r="ALJ31" s="36"/>
      <c r="ALK31" s="36"/>
      <c r="ALL31" s="36"/>
      <c r="ALM31" s="112"/>
      <c r="ALN31" s="36"/>
      <c r="ALO31" s="36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07"/>
      <c r="AMR31" s="36"/>
      <c r="AMS31" s="36"/>
      <c r="AMT31" s="36"/>
      <c r="AMU31" s="36"/>
      <c r="AMV31" s="36"/>
      <c r="AMW31" s="112"/>
      <c r="AMX31" s="36"/>
      <c r="AMY31" s="36"/>
      <c r="AMZ31" s="36"/>
      <c r="ANA31" s="36"/>
      <c r="ANB31" s="36"/>
      <c r="ANC31" s="59"/>
      <c r="AND31" s="36"/>
      <c r="ANE31" s="36"/>
      <c r="ANF31" s="36"/>
      <c r="ANG31" s="36"/>
      <c r="ANH31" s="36"/>
      <c r="ANI31" s="112"/>
      <c r="ANJ31" s="36"/>
      <c r="ANK31" s="36"/>
      <c r="ANL31" s="36"/>
      <c r="ANM31" s="36"/>
      <c r="ANN31" s="36"/>
      <c r="ANO31" s="59"/>
      <c r="ANP31" s="36"/>
      <c r="ANQ31" s="36"/>
      <c r="ANR31" s="36"/>
      <c r="ANS31" s="36"/>
      <c r="ANT31" s="36"/>
      <c r="ANU31" s="112"/>
      <c r="ANV31" s="36"/>
      <c r="ANW31" s="36"/>
      <c r="ANX31" s="36"/>
      <c r="ANY31" s="36"/>
      <c r="ANZ31" s="36"/>
      <c r="AOA31" s="59"/>
      <c r="AOB31" s="36"/>
      <c r="AOC31" s="36"/>
      <c r="AOD31" s="36"/>
      <c r="AOE31" s="36"/>
      <c r="AOF31" s="36"/>
      <c r="AOG31" s="112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07"/>
      <c r="AOZ31" s="36"/>
      <c r="APA31" s="36"/>
      <c r="APB31" s="36"/>
      <c r="APC31" s="36"/>
      <c r="APD31" s="36"/>
      <c r="APE31" s="112"/>
      <c r="APF31" s="36"/>
      <c r="APG31" s="36"/>
      <c r="APH31" s="36"/>
      <c r="API31" s="36"/>
      <c r="APJ31" s="36"/>
      <c r="APK31" s="59"/>
      <c r="APL31" s="36"/>
      <c r="APM31" s="36"/>
      <c r="APN31" s="36"/>
      <c r="APO31" s="36"/>
      <c r="APP31" s="36"/>
      <c r="APQ31" s="112"/>
      <c r="APR31" s="36"/>
      <c r="APS31" s="36"/>
      <c r="APT31" s="36"/>
      <c r="APU31" s="36"/>
      <c r="APV31" s="36"/>
      <c r="APW31" s="59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73"/>
    </row>
    <row r="32" spans="1:1326" ht="20.100000000000001" customHeight="1" x14ac:dyDescent="0.3">
      <c r="A32" s="78" t="s">
        <v>27</v>
      </c>
      <c r="B32" s="51" t="str">
        <f>IF(LEN(C49)=0,"",C49)</f>
        <v>Déploiement - Azure Web App (Backend)</v>
      </c>
      <c r="C32" s="164"/>
      <c r="D32" s="121" t="str">
        <f t="shared" si="0"/>
        <v>90h</v>
      </c>
      <c r="E32" s="22">
        <v>1080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73"/>
    </row>
    <row r="33" spans="1:1326" ht="20.100000000000001" customHeight="1" x14ac:dyDescent="0.25">
      <c r="A33" s="78" t="s">
        <v>26</v>
      </c>
      <c r="B33" s="51" t="str">
        <f>IF(LEN(C51)=0,"",C51)</f>
        <v>Déploiement - Finalisation/bugfix workflow &amp; CI/CD</v>
      </c>
      <c r="C33" s="163" t="s">
        <v>64</v>
      </c>
      <c r="D33" s="119" t="str">
        <f t="shared" si="0"/>
        <v>93h 5 min</v>
      </c>
      <c r="E33" s="26">
        <v>1117</v>
      </c>
      <c r="F33" s="211"/>
      <c r="G33" s="212"/>
      <c r="H33" s="212"/>
      <c r="I33" s="212"/>
      <c r="J33" s="212"/>
      <c r="K33" s="213"/>
      <c r="L33" s="212"/>
      <c r="M33" s="212"/>
      <c r="N33" s="212"/>
      <c r="O33" s="212"/>
      <c r="P33" s="212"/>
      <c r="Q33" s="214"/>
      <c r="R33" s="212"/>
      <c r="S33" s="212"/>
      <c r="T33" s="212"/>
      <c r="U33" s="212"/>
      <c r="V33" s="212"/>
      <c r="W33" s="215"/>
      <c r="X33" s="212"/>
      <c r="Y33" s="212"/>
      <c r="Z33" s="212"/>
      <c r="AA33" s="212"/>
      <c r="AB33" s="212"/>
      <c r="AC33" s="214"/>
      <c r="AD33" s="212"/>
      <c r="AE33" s="212"/>
      <c r="AF33" s="212"/>
      <c r="AG33" s="212"/>
      <c r="AH33" s="212"/>
      <c r="AI33" s="215"/>
      <c r="AJ33" s="212"/>
      <c r="AK33" s="212"/>
      <c r="AL33" s="212"/>
      <c r="AM33" s="212"/>
      <c r="AN33" s="212"/>
      <c r="AO33" s="214"/>
      <c r="AP33" s="212"/>
      <c r="AQ33" s="212"/>
      <c r="AR33" s="212"/>
      <c r="AS33" s="212"/>
      <c r="AT33" s="212"/>
      <c r="AU33" s="215"/>
      <c r="AV33" s="212"/>
      <c r="AW33" s="212"/>
      <c r="AX33" s="212"/>
      <c r="AY33" s="212"/>
      <c r="AZ33" s="212"/>
      <c r="BA33" s="214"/>
      <c r="BB33" s="212"/>
      <c r="BC33" s="212"/>
      <c r="BD33" s="212"/>
      <c r="BE33" s="212"/>
      <c r="BF33" s="212"/>
      <c r="BG33" s="215"/>
      <c r="BH33" s="212"/>
      <c r="BI33" s="212"/>
      <c r="BJ33" s="212"/>
      <c r="BK33" s="212"/>
      <c r="BL33" s="212"/>
      <c r="BM33" s="216"/>
      <c r="BN33" s="211"/>
      <c r="BO33" s="212"/>
      <c r="BP33" s="212"/>
      <c r="BQ33" s="212"/>
      <c r="BR33" s="212"/>
      <c r="BS33" s="213"/>
      <c r="BT33" s="212"/>
      <c r="BU33" s="212"/>
      <c r="BV33" s="212"/>
      <c r="BW33" s="212"/>
      <c r="BX33" s="212"/>
      <c r="BY33" s="214"/>
      <c r="BZ33" s="212"/>
      <c r="CA33" s="212"/>
      <c r="CB33" s="212"/>
      <c r="CC33" s="212"/>
      <c r="CD33" s="212"/>
      <c r="CE33" s="215"/>
      <c r="CF33" s="212"/>
      <c r="CG33" s="212"/>
      <c r="CH33" s="212"/>
      <c r="CI33" s="212"/>
      <c r="CJ33" s="212"/>
      <c r="CK33" s="214"/>
      <c r="CL33" s="212"/>
      <c r="CM33" s="212"/>
      <c r="CN33" s="212"/>
      <c r="CO33" s="212"/>
      <c r="CP33" s="212"/>
      <c r="CQ33" s="215"/>
      <c r="CR33" s="212"/>
      <c r="CS33" s="212"/>
      <c r="CT33" s="212"/>
      <c r="CU33" s="212"/>
      <c r="CV33" s="212"/>
      <c r="CW33" s="214"/>
      <c r="CX33" s="212"/>
      <c r="CY33" s="212"/>
      <c r="CZ33" s="212"/>
      <c r="DA33" s="212"/>
      <c r="DB33" s="212"/>
      <c r="DC33" s="215"/>
      <c r="DD33" s="212"/>
      <c r="DE33" s="212"/>
      <c r="DF33" s="212"/>
      <c r="DG33" s="212"/>
      <c r="DH33" s="212"/>
      <c r="DI33" s="214"/>
      <c r="DJ33" s="212"/>
      <c r="DK33" s="212"/>
      <c r="DL33" s="212"/>
      <c r="DM33" s="212"/>
      <c r="DN33" s="212"/>
      <c r="DO33" s="215"/>
      <c r="DP33" s="212"/>
      <c r="DQ33" s="212"/>
      <c r="DR33" s="212"/>
      <c r="DS33" s="212"/>
      <c r="DT33" s="212"/>
      <c r="DU33" s="216"/>
      <c r="DV33" s="211"/>
      <c r="DW33" s="212"/>
      <c r="DX33" s="212"/>
      <c r="DY33" s="212"/>
      <c r="DZ33" s="212"/>
      <c r="EA33" s="213"/>
      <c r="EB33" s="212"/>
      <c r="EC33" s="212"/>
      <c r="ED33" s="212"/>
      <c r="EE33" s="212"/>
      <c r="EF33" s="212"/>
      <c r="EG33" s="214"/>
      <c r="EH33" s="212"/>
      <c r="EI33" s="212"/>
      <c r="EJ33" s="212"/>
      <c r="EK33" s="212"/>
      <c r="EL33" s="212"/>
      <c r="EM33" s="215"/>
      <c r="EN33" s="212"/>
      <c r="EO33" s="212"/>
      <c r="EP33" s="212"/>
      <c r="EQ33" s="212"/>
      <c r="ER33" s="212"/>
      <c r="ES33" s="214"/>
      <c r="ET33" s="212"/>
      <c r="EU33" s="212"/>
      <c r="EV33" s="212"/>
      <c r="EW33" s="212"/>
      <c r="EX33" s="212"/>
      <c r="EY33" s="215"/>
      <c r="EZ33" s="212"/>
      <c r="FA33" s="212"/>
      <c r="FB33" s="212"/>
      <c r="FC33" s="212"/>
      <c r="FD33" s="212"/>
      <c r="FE33" s="214"/>
      <c r="FF33" s="212"/>
      <c r="FG33" s="212"/>
      <c r="FH33" s="212"/>
      <c r="FI33" s="212"/>
      <c r="FJ33" s="212"/>
      <c r="FK33" s="215"/>
      <c r="FL33" s="212"/>
      <c r="FM33" s="212"/>
      <c r="FN33" s="212"/>
      <c r="FO33" s="212"/>
      <c r="FP33" s="212"/>
      <c r="FQ33" s="214"/>
      <c r="FR33" s="212"/>
      <c r="FS33" s="212"/>
      <c r="FT33" s="212"/>
      <c r="FU33" s="212"/>
      <c r="FV33" s="212"/>
      <c r="FW33" s="215"/>
      <c r="FX33" s="212"/>
      <c r="FY33" s="212"/>
      <c r="FZ33" s="212"/>
      <c r="GA33" s="212"/>
      <c r="GB33" s="212"/>
      <c r="GC33" s="216"/>
      <c r="GD33" s="211"/>
      <c r="GE33" s="212"/>
      <c r="GF33" s="212"/>
      <c r="GG33" s="212"/>
      <c r="GH33" s="212"/>
      <c r="GI33" s="213"/>
      <c r="GJ33" s="212"/>
      <c r="GK33" s="212"/>
      <c r="GL33" s="212"/>
      <c r="GM33" s="212"/>
      <c r="GN33" s="212"/>
      <c r="GO33" s="214"/>
      <c r="GP33" s="212"/>
      <c r="GQ33" s="212"/>
      <c r="GR33" s="212"/>
      <c r="GS33" s="212"/>
      <c r="GT33" s="212"/>
      <c r="GU33" s="215"/>
      <c r="GV33" s="212"/>
      <c r="GW33" s="212"/>
      <c r="GX33" s="212"/>
      <c r="GY33" s="212"/>
      <c r="GZ33" s="212"/>
      <c r="HA33" s="214"/>
      <c r="HB33" s="212"/>
      <c r="HC33" s="212"/>
      <c r="HD33" s="212"/>
      <c r="HE33" s="212"/>
      <c r="HF33" s="212"/>
      <c r="HG33" s="215"/>
      <c r="HH33" s="212"/>
      <c r="HI33" s="212"/>
      <c r="HJ33" s="212"/>
      <c r="HK33" s="212"/>
      <c r="HL33" s="212"/>
      <c r="HM33" s="214"/>
      <c r="HN33" s="212"/>
      <c r="HO33" s="212"/>
      <c r="HP33" s="212"/>
      <c r="HQ33" s="212"/>
      <c r="HR33" s="212"/>
      <c r="HS33" s="215"/>
      <c r="HT33" s="212"/>
      <c r="HU33" s="212"/>
      <c r="HV33" s="212"/>
      <c r="HW33" s="212"/>
      <c r="HX33" s="212"/>
      <c r="HY33" s="214"/>
      <c r="HZ33" s="212"/>
      <c r="IA33" s="212"/>
      <c r="IB33" s="212"/>
      <c r="IC33" s="212"/>
      <c r="ID33" s="212"/>
      <c r="IE33" s="215"/>
      <c r="IF33" s="212"/>
      <c r="IG33" s="212"/>
      <c r="IH33" s="212"/>
      <c r="II33" s="212"/>
      <c r="IJ33" s="212"/>
      <c r="IK33" s="216"/>
      <c r="IL33" s="211"/>
      <c r="IM33" s="212"/>
      <c r="IN33" s="212"/>
      <c r="IO33" s="212"/>
      <c r="IP33" s="212"/>
      <c r="IQ33" s="213"/>
      <c r="IR33" s="212"/>
      <c r="IS33" s="212"/>
      <c r="IT33" s="212"/>
      <c r="IU33" s="212"/>
      <c r="IV33" s="212"/>
      <c r="IW33" s="214"/>
      <c r="IX33" s="212"/>
      <c r="IY33" s="212"/>
      <c r="IZ33" s="212"/>
      <c r="JA33" s="212"/>
      <c r="JB33" s="212"/>
      <c r="JC33" s="215"/>
      <c r="JD33" s="212"/>
      <c r="JE33" s="212"/>
      <c r="JF33" s="212"/>
      <c r="JG33" s="212"/>
      <c r="JH33" s="212"/>
      <c r="JI33" s="214"/>
      <c r="JJ33" s="212"/>
      <c r="JK33" s="212"/>
      <c r="JL33" s="212"/>
      <c r="JM33" s="212"/>
      <c r="JN33" s="212"/>
      <c r="JO33" s="215"/>
      <c r="JP33" s="212"/>
      <c r="JQ33" s="212"/>
      <c r="JR33" s="212"/>
      <c r="JS33" s="212"/>
      <c r="JT33" s="212"/>
      <c r="JU33" s="214"/>
      <c r="JV33" s="212"/>
      <c r="JW33" s="212"/>
      <c r="JX33" s="212"/>
      <c r="JY33" s="212"/>
      <c r="JZ33" s="212"/>
      <c r="KA33" s="215"/>
      <c r="KB33" s="212"/>
      <c r="KC33" s="212"/>
      <c r="KD33" s="212"/>
      <c r="KE33" s="212"/>
      <c r="KF33" s="212"/>
      <c r="KG33" s="214"/>
      <c r="KH33" s="212"/>
      <c r="KI33" s="212"/>
      <c r="KJ33" s="212"/>
      <c r="KK33" s="212"/>
      <c r="KL33" s="212"/>
      <c r="KM33" s="215"/>
      <c r="KN33" s="212"/>
      <c r="KO33" s="212"/>
      <c r="KP33" s="212"/>
      <c r="KQ33" s="212"/>
      <c r="KR33" s="212"/>
      <c r="KS33" s="216"/>
      <c r="KT33" s="211"/>
      <c r="KU33" s="212"/>
      <c r="KV33" s="212"/>
      <c r="KW33" s="212"/>
      <c r="KX33" s="212"/>
      <c r="KY33" s="213"/>
      <c r="KZ33" s="212"/>
      <c r="LA33" s="212"/>
      <c r="LB33" s="212"/>
      <c r="LC33" s="212"/>
      <c r="LD33" s="212"/>
      <c r="LE33" s="214"/>
      <c r="LF33" s="212"/>
      <c r="LG33" s="212"/>
      <c r="LH33" s="212"/>
      <c r="LI33" s="212"/>
      <c r="LJ33" s="212"/>
      <c r="LK33" s="215"/>
      <c r="LL33" s="212"/>
      <c r="LM33" s="212"/>
      <c r="LN33" s="212"/>
      <c r="LO33" s="212"/>
      <c r="LP33" s="212"/>
      <c r="LQ33" s="214"/>
      <c r="LR33" s="212"/>
      <c r="LS33" s="212"/>
      <c r="LT33" s="212"/>
      <c r="LU33" s="212"/>
      <c r="LV33" s="212"/>
      <c r="LW33" s="215"/>
      <c r="LX33" s="212"/>
      <c r="LY33" s="212"/>
      <c r="LZ33" s="212"/>
      <c r="MA33" s="212"/>
      <c r="MB33" s="212"/>
      <c r="MC33" s="214"/>
      <c r="MD33" s="212"/>
      <c r="ME33" s="212"/>
      <c r="MF33" s="212"/>
      <c r="MG33" s="212"/>
      <c r="MH33" s="212"/>
      <c r="MI33" s="215"/>
      <c r="MJ33" s="212"/>
      <c r="MK33" s="212"/>
      <c r="ML33" s="212"/>
      <c r="MM33" s="212"/>
      <c r="MN33" s="212"/>
      <c r="MO33" s="214"/>
      <c r="MP33" s="212"/>
      <c r="MQ33" s="212"/>
      <c r="MR33" s="212"/>
      <c r="MS33" s="212"/>
      <c r="MT33" s="212"/>
      <c r="MU33" s="215"/>
      <c r="MV33" s="212"/>
      <c r="MW33" s="212"/>
      <c r="MX33" s="212"/>
      <c r="MY33" s="212"/>
      <c r="MZ33" s="212"/>
      <c r="NA33" s="216"/>
      <c r="NB33" s="231"/>
      <c r="NC33" s="226"/>
      <c r="ND33" s="226"/>
      <c r="NE33" s="226"/>
      <c r="NF33" s="226"/>
      <c r="NG33" s="232"/>
      <c r="NH33" s="226"/>
      <c r="NI33" s="226"/>
      <c r="NJ33" s="226"/>
      <c r="NK33" s="226"/>
      <c r="NL33" s="226"/>
      <c r="NM33" s="227"/>
      <c r="NN33" s="226"/>
      <c r="NO33" s="226"/>
      <c r="NP33" s="226"/>
      <c r="NQ33" s="226"/>
      <c r="NR33" s="226"/>
      <c r="NS33" s="228"/>
      <c r="NT33" s="226"/>
      <c r="NU33" s="226"/>
      <c r="NV33" s="226"/>
      <c r="NW33" s="226"/>
      <c r="NX33" s="226"/>
      <c r="NY33" s="227"/>
      <c r="NZ33" s="226"/>
      <c r="OA33" s="226"/>
      <c r="OB33" s="226"/>
      <c r="OC33" s="226"/>
      <c r="OD33" s="226"/>
      <c r="OE33" s="228"/>
      <c r="OF33" s="226"/>
      <c r="OG33" s="226"/>
      <c r="OH33" s="226"/>
      <c r="OI33" s="226"/>
      <c r="OJ33" s="226"/>
      <c r="OK33" s="227"/>
      <c r="OL33" s="226"/>
      <c r="OM33" s="212"/>
      <c r="ON33" s="212"/>
      <c r="OO33" s="212"/>
      <c r="OP33" s="212"/>
      <c r="OQ33" s="215"/>
      <c r="OR33" s="212"/>
      <c r="OS33" s="212"/>
      <c r="OT33" s="212"/>
      <c r="OU33" s="212"/>
      <c r="OV33" s="212"/>
      <c r="OW33" s="214"/>
      <c r="OX33" s="212"/>
      <c r="OY33" s="212"/>
      <c r="OZ33" s="212"/>
      <c r="PA33" s="212"/>
      <c r="PB33" s="212"/>
      <c r="PC33" s="215"/>
      <c r="PD33" s="212"/>
      <c r="PE33" s="212"/>
      <c r="PF33" s="212"/>
      <c r="PG33" s="212"/>
      <c r="PH33" s="212"/>
      <c r="PI33" s="216"/>
      <c r="PJ33" s="211"/>
      <c r="PK33" s="212"/>
      <c r="PL33" s="212"/>
      <c r="PM33" s="212"/>
      <c r="PN33" s="212"/>
      <c r="PO33" s="213"/>
      <c r="PP33" s="212"/>
      <c r="PQ33" s="212"/>
      <c r="PR33" s="212"/>
      <c r="PS33" s="212"/>
      <c r="PT33" s="212"/>
      <c r="PU33" s="214"/>
      <c r="PV33" s="212"/>
      <c r="PW33" s="212"/>
      <c r="PX33" s="212"/>
      <c r="PY33" s="212"/>
      <c r="PZ33" s="212"/>
      <c r="QA33" s="215"/>
      <c r="QB33" s="212"/>
      <c r="QC33" s="212"/>
      <c r="QD33" s="212"/>
      <c r="QE33" s="212"/>
      <c r="QF33" s="212"/>
      <c r="QG33" s="214"/>
      <c r="QH33" s="212"/>
      <c r="QI33" s="212"/>
      <c r="QJ33" s="212"/>
      <c r="QK33" s="212"/>
      <c r="QL33" s="212"/>
      <c r="QM33" s="215"/>
      <c r="QN33" s="212"/>
      <c r="QO33" s="212"/>
      <c r="QP33" s="212"/>
      <c r="QQ33" s="212"/>
      <c r="QR33" s="212"/>
      <c r="QS33" s="214"/>
      <c r="QT33" s="212"/>
      <c r="QU33" s="212"/>
      <c r="QV33" s="212"/>
      <c r="QW33" s="212"/>
      <c r="QX33" s="212"/>
      <c r="QY33" s="215"/>
      <c r="QZ33" s="212"/>
      <c r="RA33" s="212"/>
      <c r="RB33" s="212"/>
      <c r="RC33" s="212"/>
      <c r="RD33" s="212"/>
      <c r="RE33" s="214"/>
      <c r="RF33" s="212"/>
      <c r="RG33" s="212"/>
      <c r="RH33" s="212"/>
      <c r="RI33" s="212"/>
      <c r="RJ33" s="212"/>
      <c r="RK33" s="215"/>
      <c r="RL33" s="212"/>
      <c r="RM33" s="212"/>
      <c r="RN33" s="212"/>
      <c r="RO33" s="212"/>
      <c r="RP33" s="212"/>
      <c r="RQ33" s="216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73"/>
    </row>
    <row r="34" spans="1:1326" ht="20.100000000000001" customHeight="1" x14ac:dyDescent="0.3">
      <c r="A34" s="78" t="s">
        <v>27</v>
      </c>
      <c r="B34" s="51" t="str">
        <f>IF(LEN(C53)=0,"",C53)</f>
        <v>Doc - Journal de travail</v>
      </c>
      <c r="C34" s="164"/>
      <c r="D34" s="121" t="str">
        <f t="shared" si="0"/>
        <v>90h</v>
      </c>
      <c r="E34" s="30">
        <v>1080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73"/>
    </row>
    <row r="35" spans="1:1326" ht="20.100000000000001" customHeight="1" x14ac:dyDescent="0.25">
      <c r="A35" s="78" t="s">
        <v>26</v>
      </c>
      <c r="B35" s="51" t="str">
        <f>IF(LEN(C55)=0,"",C55)</f>
        <v>Doc - Rapport</v>
      </c>
      <c r="C35" s="163" t="s">
        <v>54</v>
      </c>
      <c r="D35" s="119" t="str">
        <f t="shared" si="0"/>
        <v>90h 30 min</v>
      </c>
      <c r="E35" s="34">
        <v>1086</v>
      </c>
      <c r="F35" s="217"/>
      <c r="G35" s="218"/>
      <c r="H35" s="218"/>
      <c r="I35" s="218"/>
      <c r="J35" s="218"/>
      <c r="K35" s="219"/>
      <c r="L35" s="218"/>
      <c r="M35" s="218"/>
      <c r="N35" s="218"/>
      <c r="O35" s="218"/>
      <c r="P35" s="218"/>
      <c r="Q35" s="220"/>
      <c r="R35" s="218"/>
      <c r="S35" s="218"/>
      <c r="T35" s="218"/>
      <c r="U35" s="218"/>
      <c r="V35" s="218"/>
      <c r="W35" s="221"/>
      <c r="X35" s="218"/>
      <c r="Y35" s="218"/>
      <c r="Z35" s="218"/>
      <c r="AA35" s="218"/>
      <c r="AB35" s="218"/>
      <c r="AC35" s="220"/>
      <c r="AD35" s="218"/>
      <c r="AE35" s="218"/>
      <c r="AF35" s="218"/>
      <c r="AG35" s="218"/>
      <c r="AH35" s="218"/>
      <c r="AI35" s="221"/>
      <c r="AJ35" s="218"/>
      <c r="AK35" s="218"/>
      <c r="AL35" s="218"/>
      <c r="AM35" s="218"/>
      <c r="AN35" s="218"/>
      <c r="AO35" s="220"/>
      <c r="AP35" s="218"/>
      <c r="AQ35" s="218"/>
      <c r="AR35" s="218"/>
      <c r="AS35" s="218"/>
      <c r="AT35" s="218"/>
      <c r="AU35" s="221"/>
      <c r="AV35" s="218"/>
      <c r="AW35" s="218"/>
      <c r="AX35" s="218"/>
      <c r="AY35" s="218"/>
      <c r="AZ35" s="218"/>
      <c r="BA35" s="220"/>
      <c r="BB35" s="218"/>
      <c r="BC35" s="218"/>
      <c r="BD35" s="218"/>
      <c r="BE35" s="218"/>
      <c r="BF35" s="218"/>
      <c r="BG35" s="221"/>
      <c r="BH35" s="218"/>
      <c r="BI35" s="218"/>
      <c r="BJ35" s="218"/>
      <c r="BK35" s="218"/>
      <c r="BL35" s="218"/>
      <c r="BM35" s="222"/>
      <c r="BN35" s="217"/>
      <c r="BO35" s="218"/>
      <c r="BP35" s="218"/>
      <c r="BQ35" s="218"/>
      <c r="BR35" s="218"/>
      <c r="BS35" s="219"/>
      <c r="BT35" s="218"/>
      <c r="BU35" s="218"/>
      <c r="BV35" s="218"/>
      <c r="BW35" s="218"/>
      <c r="BX35" s="218"/>
      <c r="BY35" s="220"/>
      <c r="BZ35" s="218"/>
      <c r="CA35" s="218"/>
      <c r="CB35" s="218"/>
      <c r="CC35" s="218"/>
      <c r="CD35" s="218"/>
      <c r="CE35" s="221"/>
      <c r="CF35" s="218"/>
      <c r="CG35" s="218"/>
      <c r="CH35" s="218"/>
      <c r="CI35" s="218"/>
      <c r="CJ35" s="218"/>
      <c r="CK35" s="220"/>
      <c r="CL35" s="218"/>
      <c r="CM35" s="218"/>
      <c r="CN35" s="218"/>
      <c r="CO35" s="218"/>
      <c r="CP35" s="218"/>
      <c r="CQ35" s="221"/>
      <c r="CR35" s="218"/>
      <c r="CS35" s="218"/>
      <c r="CT35" s="218"/>
      <c r="CU35" s="218"/>
      <c r="CV35" s="218"/>
      <c r="CW35" s="220"/>
      <c r="CX35" s="218"/>
      <c r="CY35" s="218"/>
      <c r="CZ35" s="218"/>
      <c r="DA35" s="218"/>
      <c r="DB35" s="218"/>
      <c r="DC35" s="221"/>
      <c r="DD35" s="218"/>
      <c r="DE35" s="218"/>
      <c r="DF35" s="218"/>
      <c r="DG35" s="218"/>
      <c r="DH35" s="218"/>
      <c r="DI35" s="220"/>
      <c r="DJ35" s="218"/>
      <c r="DK35" s="218"/>
      <c r="DL35" s="218"/>
      <c r="DM35" s="218"/>
      <c r="DN35" s="218"/>
      <c r="DO35" s="221"/>
      <c r="DP35" s="218"/>
      <c r="DQ35" s="218"/>
      <c r="DR35" s="218"/>
      <c r="DS35" s="218"/>
      <c r="DT35" s="218"/>
      <c r="DU35" s="222"/>
      <c r="DV35" s="217"/>
      <c r="DW35" s="218"/>
      <c r="DX35" s="218"/>
      <c r="DY35" s="218"/>
      <c r="DZ35" s="218"/>
      <c r="EA35" s="219"/>
      <c r="EB35" s="218"/>
      <c r="EC35" s="218"/>
      <c r="ED35" s="218"/>
      <c r="EE35" s="218"/>
      <c r="EF35" s="218"/>
      <c r="EG35" s="220"/>
      <c r="EH35" s="218"/>
      <c r="EI35" s="218"/>
      <c r="EJ35" s="218"/>
      <c r="EK35" s="218"/>
      <c r="EL35" s="218"/>
      <c r="EM35" s="221"/>
      <c r="EN35" s="218"/>
      <c r="EO35" s="218"/>
      <c r="EP35" s="218"/>
      <c r="EQ35" s="218"/>
      <c r="ER35" s="218"/>
      <c r="ES35" s="220"/>
      <c r="ET35" s="218"/>
      <c r="EU35" s="218"/>
      <c r="EV35" s="218"/>
      <c r="EW35" s="218"/>
      <c r="EX35" s="218"/>
      <c r="EY35" s="221"/>
      <c r="EZ35" s="218"/>
      <c r="FA35" s="218"/>
      <c r="FB35" s="218"/>
      <c r="FC35" s="218"/>
      <c r="FD35" s="218"/>
      <c r="FE35" s="220"/>
      <c r="FF35" s="218"/>
      <c r="FG35" s="218"/>
      <c r="FH35" s="218"/>
      <c r="FI35" s="218"/>
      <c r="FJ35" s="218"/>
      <c r="FK35" s="221"/>
      <c r="FL35" s="218"/>
      <c r="FM35" s="218"/>
      <c r="FN35" s="218"/>
      <c r="FO35" s="218"/>
      <c r="FP35" s="218"/>
      <c r="FQ35" s="220"/>
      <c r="FR35" s="218"/>
      <c r="FS35" s="218"/>
      <c r="FT35" s="218"/>
      <c r="FU35" s="218"/>
      <c r="FV35" s="218"/>
      <c r="FW35" s="221"/>
      <c r="FX35" s="218"/>
      <c r="FY35" s="218"/>
      <c r="FZ35" s="218"/>
      <c r="GA35" s="218"/>
      <c r="GB35" s="218"/>
      <c r="GC35" s="222"/>
      <c r="GD35" s="217"/>
      <c r="GE35" s="218"/>
      <c r="GF35" s="218"/>
      <c r="GG35" s="218"/>
      <c r="GH35" s="218"/>
      <c r="GI35" s="219"/>
      <c r="GJ35" s="218"/>
      <c r="GK35" s="218"/>
      <c r="GL35" s="218"/>
      <c r="GM35" s="218"/>
      <c r="GN35" s="218"/>
      <c r="GO35" s="220"/>
      <c r="GP35" s="218"/>
      <c r="GQ35" s="218"/>
      <c r="GR35" s="218"/>
      <c r="GS35" s="218"/>
      <c r="GT35" s="218"/>
      <c r="GU35" s="221"/>
      <c r="GV35" s="218"/>
      <c r="GW35" s="218"/>
      <c r="GX35" s="218"/>
      <c r="GY35" s="218"/>
      <c r="GZ35" s="218"/>
      <c r="HA35" s="220"/>
      <c r="HB35" s="218"/>
      <c r="HC35" s="218"/>
      <c r="HD35" s="218"/>
      <c r="HE35" s="218"/>
      <c r="HF35" s="218"/>
      <c r="HG35" s="221"/>
      <c r="HH35" s="218"/>
      <c r="HI35" s="218"/>
      <c r="HJ35" s="218"/>
      <c r="HK35" s="218"/>
      <c r="HL35" s="218"/>
      <c r="HM35" s="220"/>
      <c r="HN35" s="218"/>
      <c r="HO35" s="218"/>
      <c r="HP35" s="218"/>
      <c r="HQ35" s="218"/>
      <c r="HR35" s="218"/>
      <c r="HS35" s="221"/>
      <c r="HT35" s="218"/>
      <c r="HU35" s="218"/>
      <c r="HV35" s="218"/>
      <c r="HW35" s="218"/>
      <c r="HX35" s="218"/>
      <c r="HY35" s="220"/>
      <c r="HZ35" s="218"/>
      <c r="IA35" s="218"/>
      <c r="IB35" s="218"/>
      <c r="IC35" s="218"/>
      <c r="ID35" s="218"/>
      <c r="IE35" s="221"/>
      <c r="IF35" s="218"/>
      <c r="IG35" s="218"/>
      <c r="IH35" s="218"/>
      <c r="II35" s="218"/>
      <c r="IJ35" s="218"/>
      <c r="IK35" s="222"/>
      <c r="IL35" s="217"/>
      <c r="IM35" s="218"/>
      <c r="IN35" s="218"/>
      <c r="IO35" s="218"/>
      <c r="IP35" s="218"/>
      <c r="IQ35" s="219"/>
      <c r="IR35" s="218"/>
      <c r="IS35" s="218"/>
      <c r="IT35" s="218"/>
      <c r="IU35" s="218"/>
      <c r="IV35" s="224"/>
      <c r="IW35" s="229"/>
      <c r="IX35" s="224"/>
      <c r="IY35" s="224"/>
      <c r="IZ35" s="224"/>
      <c r="JA35" s="224"/>
      <c r="JB35" s="218"/>
      <c r="JC35" s="221"/>
      <c r="JD35" s="218"/>
      <c r="JE35" s="218"/>
      <c r="JF35" s="218"/>
      <c r="JG35" s="218"/>
      <c r="JH35" s="218"/>
      <c r="JI35" s="220"/>
      <c r="JJ35" s="218"/>
      <c r="JK35" s="218"/>
      <c r="JL35" s="218"/>
      <c r="JM35" s="218"/>
      <c r="JN35" s="218"/>
      <c r="JO35" s="221"/>
      <c r="JP35" s="218"/>
      <c r="JQ35" s="218"/>
      <c r="JR35" s="218"/>
      <c r="JS35" s="218"/>
      <c r="JT35" s="218"/>
      <c r="JU35" s="220"/>
      <c r="JV35" s="218"/>
      <c r="JW35" s="218"/>
      <c r="JX35" s="218"/>
      <c r="JY35" s="218"/>
      <c r="JZ35" s="218"/>
      <c r="KA35" s="221"/>
      <c r="KB35" s="218"/>
      <c r="KC35" s="218"/>
      <c r="KD35" s="218"/>
      <c r="KE35" s="218"/>
      <c r="KF35" s="218"/>
      <c r="KG35" s="220"/>
      <c r="KH35" s="218"/>
      <c r="KI35" s="218"/>
      <c r="KJ35" s="218"/>
      <c r="KK35" s="218"/>
      <c r="KL35" s="218"/>
      <c r="KM35" s="221"/>
      <c r="KN35" s="218"/>
      <c r="KO35" s="218"/>
      <c r="KP35" s="218"/>
      <c r="KQ35" s="218"/>
      <c r="KR35" s="218"/>
      <c r="KS35" s="222"/>
      <c r="KT35" s="217"/>
      <c r="KU35" s="218"/>
      <c r="KV35" s="218"/>
      <c r="KW35" s="218"/>
      <c r="KX35" s="218"/>
      <c r="KY35" s="219"/>
      <c r="KZ35" s="218"/>
      <c r="LA35" s="218"/>
      <c r="LB35" s="218"/>
      <c r="LC35" s="218"/>
      <c r="LD35" s="218"/>
      <c r="LE35" s="220"/>
      <c r="LF35" s="218"/>
      <c r="LG35" s="218"/>
      <c r="LH35" s="218"/>
      <c r="LI35" s="218"/>
      <c r="LJ35" s="218"/>
      <c r="LK35" s="221"/>
      <c r="LL35" s="218"/>
      <c r="LM35" s="218"/>
      <c r="LN35" s="218"/>
      <c r="LO35" s="218"/>
      <c r="LP35" s="218"/>
      <c r="LQ35" s="220"/>
      <c r="LR35" s="218"/>
      <c r="LS35" s="218"/>
      <c r="LT35" s="218"/>
      <c r="LU35" s="218"/>
      <c r="LV35" s="218"/>
      <c r="LW35" s="221"/>
      <c r="LX35" s="218"/>
      <c r="LY35" s="218"/>
      <c r="LZ35" s="218"/>
      <c r="MA35" s="218"/>
      <c r="MB35" s="218"/>
      <c r="MC35" s="220"/>
      <c r="MD35" s="218"/>
      <c r="ME35" s="218"/>
      <c r="MF35" s="218"/>
      <c r="MG35" s="218"/>
      <c r="MH35" s="218"/>
      <c r="MI35" s="221"/>
      <c r="MJ35" s="218"/>
      <c r="MK35" s="218"/>
      <c r="ML35" s="218"/>
      <c r="MM35" s="218"/>
      <c r="MN35" s="218"/>
      <c r="MO35" s="220"/>
      <c r="MP35" s="218"/>
      <c r="MQ35" s="218"/>
      <c r="MR35" s="218"/>
      <c r="MS35" s="218"/>
      <c r="MT35" s="218"/>
      <c r="MU35" s="221"/>
      <c r="MV35" s="218"/>
      <c r="MW35" s="218"/>
      <c r="MX35" s="218"/>
      <c r="MY35" s="218"/>
      <c r="MZ35" s="218"/>
      <c r="NA35" s="222"/>
      <c r="NB35" s="217"/>
      <c r="NC35" s="218"/>
      <c r="ND35" s="218"/>
      <c r="NE35" s="218"/>
      <c r="NF35" s="218"/>
      <c r="NG35" s="219"/>
      <c r="NH35" s="218"/>
      <c r="NI35" s="218"/>
      <c r="NJ35" s="218"/>
      <c r="NK35" s="218"/>
      <c r="NL35" s="218"/>
      <c r="NM35" s="220"/>
      <c r="NN35" s="218"/>
      <c r="NO35" s="218"/>
      <c r="NP35" s="218"/>
      <c r="NQ35" s="218"/>
      <c r="NR35" s="218"/>
      <c r="NS35" s="221"/>
      <c r="NT35" s="218"/>
      <c r="NU35" s="218"/>
      <c r="NV35" s="218"/>
      <c r="NW35" s="218"/>
      <c r="NX35" s="218"/>
      <c r="NY35" s="220"/>
      <c r="NZ35" s="218"/>
      <c r="OA35" s="218"/>
      <c r="OB35" s="218"/>
      <c r="OC35" s="218"/>
      <c r="OD35" s="218"/>
      <c r="OE35" s="221"/>
      <c r="OF35" s="218"/>
      <c r="OG35" s="218"/>
      <c r="OH35" s="218"/>
      <c r="OI35" s="218"/>
      <c r="OJ35" s="218"/>
      <c r="OK35" s="220"/>
      <c r="OL35" s="218"/>
      <c r="OM35" s="218"/>
      <c r="ON35" s="218"/>
      <c r="OO35" s="218"/>
      <c r="OP35" s="218"/>
      <c r="OQ35" s="221"/>
      <c r="OR35" s="218"/>
      <c r="OS35" s="218"/>
      <c r="OT35" s="218"/>
      <c r="OU35" s="218"/>
      <c r="OV35" s="218"/>
      <c r="OW35" s="220"/>
      <c r="OX35" s="218"/>
      <c r="OY35" s="218"/>
      <c r="OZ35" s="218"/>
      <c r="PA35" s="218"/>
      <c r="PB35" s="218"/>
      <c r="PC35" s="221"/>
      <c r="PD35" s="218"/>
      <c r="PE35" s="218"/>
      <c r="PF35" s="218"/>
      <c r="PG35" s="218"/>
      <c r="PH35" s="218"/>
      <c r="PI35" s="222"/>
      <c r="PJ35" s="217"/>
      <c r="PK35" s="218"/>
      <c r="PL35" s="218"/>
      <c r="PM35" s="218"/>
      <c r="PN35" s="218"/>
      <c r="PO35" s="219"/>
      <c r="PP35" s="218"/>
      <c r="PQ35" s="218"/>
      <c r="PR35" s="218"/>
      <c r="PS35" s="218"/>
      <c r="PT35" s="218"/>
      <c r="PU35" s="220"/>
      <c r="PV35" s="218"/>
      <c r="PW35" s="218"/>
      <c r="PX35" s="218"/>
      <c r="PY35" s="218"/>
      <c r="PZ35" s="218"/>
      <c r="QA35" s="221"/>
      <c r="QB35" s="218"/>
      <c r="QC35" s="218"/>
      <c r="QD35" s="218"/>
      <c r="QE35" s="218"/>
      <c r="QF35" s="218"/>
      <c r="QG35" s="220"/>
      <c r="QH35" s="218"/>
      <c r="QI35" s="218"/>
      <c r="QJ35" s="218"/>
      <c r="QK35" s="218"/>
      <c r="QL35" s="218"/>
      <c r="QM35" s="221"/>
      <c r="QN35" s="218"/>
      <c r="QO35" s="218"/>
      <c r="QP35" s="218"/>
      <c r="QQ35" s="218"/>
      <c r="QR35" s="218"/>
      <c r="QS35" s="220"/>
      <c r="QT35" s="218"/>
      <c r="QU35" s="218"/>
      <c r="QV35" s="218"/>
      <c r="QW35" s="218"/>
      <c r="QX35" s="218"/>
      <c r="QY35" s="221"/>
      <c r="QZ35" s="218"/>
      <c r="RA35" s="218"/>
      <c r="RB35" s="218"/>
      <c r="RC35" s="218"/>
      <c r="RD35" s="218"/>
      <c r="RE35" s="220"/>
      <c r="RF35" s="218"/>
      <c r="RG35" s="218"/>
      <c r="RH35" s="218"/>
      <c r="RI35" s="218"/>
      <c r="RJ35" s="218"/>
      <c r="RK35" s="221"/>
      <c r="RL35" s="218"/>
      <c r="RM35" s="218"/>
      <c r="RN35" s="218"/>
      <c r="RO35" s="218"/>
      <c r="RP35" s="218"/>
      <c r="RQ35" s="222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36"/>
      <c r="UI35" s="36"/>
      <c r="UJ35" s="36"/>
      <c r="UK35" s="112"/>
      <c r="UL35" s="36"/>
      <c r="UM35" s="36"/>
      <c r="UN35" s="36"/>
      <c r="UO35" s="36"/>
      <c r="UP35" s="36"/>
      <c r="UQ35" s="59"/>
      <c r="UR35" s="36"/>
      <c r="US35" s="36"/>
      <c r="UT35" s="36"/>
      <c r="UU35" s="36"/>
      <c r="UV35" s="36"/>
      <c r="UW35" s="112"/>
      <c r="UX35" s="36"/>
      <c r="UY35" s="36"/>
      <c r="UZ35" s="36"/>
      <c r="VA35" s="36"/>
      <c r="VB35" s="36"/>
      <c r="VC35" s="59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73"/>
    </row>
    <row r="36" spans="1:1326" ht="20.100000000000001" customHeight="1" x14ac:dyDescent="0.25">
      <c r="A36" s="78" t="s">
        <v>27</v>
      </c>
      <c r="B36" s="51" t="str">
        <f>IF(LEN(C57)=0,"",C57)</f>
        <v>Doc - Revue du rapport</v>
      </c>
      <c r="C36" s="164"/>
      <c r="D36" s="120" t="str">
        <f t="shared" si="0"/>
        <v>90h</v>
      </c>
      <c r="E36" s="22">
        <v>1080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73"/>
    </row>
    <row r="37" spans="1:1326" ht="20.100000000000001" customHeight="1" x14ac:dyDescent="0.25">
      <c r="A37" s="78" t="s">
        <v>26</v>
      </c>
      <c r="B37" s="51" t="str">
        <f>IF(LEN(C59)=0,"",C59)</f>
        <v>Entretien avec chef de projet</v>
      </c>
      <c r="C37" s="163" t="s">
        <v>65</v>
      </c>
      <c r="D37" s="119" t="str">
        <f t="shared" si="0"/>
        <v>91h 15 min</v>
      </c>
      <c r="E37" s="26">
        <v>1095</v>
      </c>
      <c r="F37" s="211"/>
      <c r="G37" s="212"/>
      <c r="H37" s="212"/>
      <c r="I37" s="212"/>
      <c r="J37" s="212"/>
      <c r="K37" s="213"/>
      <c r="L37" s="212"/>
      <c r="M37" s="212"/>
      <c r="N37" s="212"/>
      <c r="O37" s="212"/>
      <c r="P37" s="212"/>
      <c r="Q37" s="214"/>
      <c r="R37" s="212"/>
      <c r="S37" s="212"/>
      <c r="T37" s="212"/>
      <c r="U37" s="212"/>
      <c r="V37" s="212"/>
      <c r="W37" s="215"/>
      <c r="X37" s="212"/>
      <c r="Y37" s="212"/>
      <c r="Z37" s="212"/>
      <c r="AA37" s="212"/>
      <c r="AB37" s="212"/>
      <c r="AC37" s="214"/>
      <c r="AD37" s="212"/>
      <c r="AE37" s="212"/>
      <c r="AF37" s="212"/>
      <c r="AG37" s="212"/>
      <c r="AH37" s="212"/>
      <c r="AI37" s="215"/>
      <c r="AJ37" s="212"/>
      <c r="AK37" s="212"/>
      <c r="AL37" s="212"/>
      <c r="AM37" s="212"/>
      <c r="AN37" s="212"/>
      <c r="AO37" s="214"/>
      <c r="AP37" s="212"/>
      <c r="AQ37" s="212"/>
      <c r="AR37" s="212"/>
      <c r="AS37" s="212"/>
      <c r="AT37" s="212"/>
      <c r="AU37" s="215"/>
      <c r="AV37" s="212"/>
      <c r="AW37" s="212"/>
      <c r="AX37" s="212"/>
      <c r="AY37" s="212"/>
      <c r="AZ37" s="212"/>
      <c r="BA37" s="214"/>
      <c r="BB37" s="212"/>
      <c r="BC37" s="212"/>
      <c r="BD37" s="212"/>
      <c r="BE37" s="212"/>
      <c r="BF37" s="212"/>
      <c r="BG37" s="215"/>
      <c r="BH37" s="212"/>
      <c r="BI37" s="212"/>
      <c r="BJ37" s="212"/>
      <c r="BK37" s="212"/>
      <c r="BL37" s="212"/>
      <c r="BM37" s="216"/>
      <c r="BN37" s="211"/>
      <c r="BO37" s="212"/>
      <c r="BP37" s="212"/>
      <c r="BQ37" s="212"/>
      <c r="BR37" s="212"/>
      <c r="BS37" s="213"/>
      <c r="BT37" s="212"/>
      <c r="BU37" s="212"/>
      <c r="BV37" s="212"/>
      <c r="BW37" s="212"/>
      <c r="BX37" s="212"/>
      <c r="BY37" s="214"/>
      <c r="BZ37" s="212"/>
      <c r="CA37" s="212"/>
      <c r="CB37" s="212"/>
      <c r="CC37" s="212"/>
      <c r="CD37" s="212"/>
      <c r="CE37" s="215"/>
      <c r="CF37" s="212"/>
      <c r="CG37" s="212"/>
      <c r="CH37" s="212"/>
      <c r="CI37" s="212"/>
      <c r="CJ37" s="212"/>
      <c r="CK37" s="214"/>
      <c r="CL37" s="212"/>
      <c r="CM37" s="212"/>
      <c r="CN37" s="212"/>
      <c r="CO37" s="212"/>
      <c r="CP37" s="212"/>
      <c r="CQ37" s="215"/>
      <c r="CR37" s="212"/>
      <c r="CS37" s="212"/>
      <c r="CT37" s="212"/>
      <c r="CU37" s="212"/>
      <c r="CV37" s="212"/>
      <c r="CW37" s="214"/>
      <c r="CX37" s="212"/>
      <c r="CY37" s="212"/>
      <c r="CZ37" s="212"/>
      <c r="DA37" s="212"/>
      <c r="DB37" s="212"/>
      <c r="DC37" s="215"/>
      <c r="DD37" s="212"/>
      <c r="DE37" s="212"/>
      <c r="DF37" s="212"/>
      <c r="DG37" s="212"/>
      <c r="DH37" s="212"/>
      <c r="DI37" s="214"/>
      <c r="DJ37" s="212"/>
      <c r="DK37" s="212"/>
      <c r="DL37" s="212"/>
      <c r="DM37" s="212"/>
      <c r="DN37" s="212"/>
      <c r="DO37" s="215"/>
      <c r="DP37" s="212"/>
      <c r="DQ37" s="212"/>
      <c r="DR37" s="212"/>
      <c r="DS37" s="212"/>
      <c r="DT37" s="212"/>
      <c r="DU37" s="216"/>
      <c r="DV37" s="211"/>
      <c r="DW37" s="212"/>
      <c r="DX37" s="212"/>
      <c r="DY37" s="212"/>
      <c r="DZ37" s="212"/>
      <c r="EA37" s="213"/>
      <c r="EB37" s="212"/>
      <c r="EC37" s="212"/>
      <c r="ED37" s="212"/>
      <c r="EE37" s="212"/>
      <c r="EF37" s="212"/>
      <c r="EG37" s="214"/>
      <c r="EH37" s="212"/>
      <c r="EI37" s="212"/>
      <c r="EJ37" s="212"/>
      <c r="EK37" s="212"/>
      <c r="EL37" s="212"/>
      <c r="EM37" s="215"/>
      <c r="EN37" s="212"/>
      <c r="EO37" s="212"/>
      <c r="EP37" s="212"/>
      <c r="EQ37" s="212"/>
      <c r="ER37" s="212"/>
      <c r="ES37" s="214"/>
      <c r="ET37" s="212"/>
      <c r="EU37" s="212"/>
      <c r="EV37" s="212"/>
      <c r="EW37" s="212"/>
      <c r="EX37" s="212"/>
      <c r="EY37" s="215"/>
      <c r="EZ37" s="212"/>
      <c r="FA37" s="212"/>
      <c r="FB37" s="212"/>
      <c r="FC37" s="212"/>
      <c r="FD37" s="212"/>
      <c r="FE37" s="214"/>
      <c r="FF37" s="212"/>
      <c r="FG37" s="212"/>
      <c r="FH37" s="212"/>
      <c r="FI37" s="212"/>
      <c r="FJ37" s="212"/>
      <c r="FK37" s="215"/>
      <c r="FL37" s="212"/>
      <c r="FM37" s="212"/>
      <c r="FN37" s="212"/>
      <c r="FO37" s="212"/>
      <c r="FP37" s="212"/>
      <c r="FQ37" s="214"/>
      <c r="FR37" s="212"/>
      <c r="FS37" s="212"/>
      <c r="FT37" s="212"/>
      <c r="FU37" s="212"/>
      <c r="FV37" s="212"/>
      <c r="FW37" s="215"/>
      <c r="FX37" s="212"/>
      <c r="FY37" s="212"/>
      <c r="FZ37" s="212"/>
      <c r="GA37" s="212"/>
      <c r="GB37" s="212"/>
      <c r="GC37" s="216"/>
      <c r="GD37" s="211"/>
      <c r="GE37" s="212"/>
      <c r="GF37" s="212"/>
      <c r="GG37" s="212"/>
      <c r="GH37" s="212"/>
      <c r="GI37" s="213"/>
      <c r="GJ37" s="212"/>
      <c r="GK37" s="212"/>
      <c r="GL37" s="212"/>
      <c r="GM37" s="212"/>
      <c r="GN37" s="212"/>
      <c r="GO37" s="214"/>
      <c r="GP37" s="212"/>
      <c r="GQ37" s="212"/>
      <c r="GR37" s="212"/>
      <c r="GS37" s="212"/>
      <c r="GT37" s="212"/>
      <c r="GU37" s="215"/>
      <c r="GV37" s="212"/>
      <c r="GW37" s="212"/>
      <c r="GX37" s="212"/>
      <c r="GY37" s="212"/>
      <c r="GZ37" s="212"/>
      <c r="HA37" s="214"/>
      <c r="HB37" s="212"/>
      <c r="HC37" s="212"/>
      <c r="HD37" s="212"/>
      <c r="HE37" s="212"/>
      <c r="HF37" s="212"/>
      <c r="HG37" s="215"/>
      <c r="HH37" s="212"/>
      <c r="HI37" s="212"/>
      <c r="HJ37" s="212"/>
      <c r="HK37" s="212"/>
      <c r="HL37" s="212"/>
      <c r="HM37" s="214"/>
      <c r="HN37" s="212"/>
      <c r="HO37" s="212"/>
      <c r="HP37" s="212"/>
      <c r="HQ37" s="212"/>
      <c r="HR37" s="212"/>
      <c r="HS37" s="215"/>
      <c r="HT37" s="212"/>
      <c r="HU37" s="212"/>
      <c r="HV37" s="212"/>
      <c r="HW37" s="212"/>
      <c r="HX37" s="212"/>
      <c r="HY37" s="214"/>
      <c r="HZ37" s="212"/>
      <c r="IA37" s="212"/>
      <c r="IB37" s="212"/>
      <c r="IC37" s="212"/>
      <c r="ID37" s="212"/>
      <c r="IE37" s="215"/>
      <c r="IF37" s="212"/>
      <c r="IG37" s="212"/>
      <c r="IH37" s="212"/>
      <c r="II37" s="212"/>
      <c r="IJ37" s="212"/>
      <c r="IK37" s="216"/>
      <c r="IL37" s="211"/>
      <c r="IM37" s="212"/>
      <c r="IN37" s="212"/>
      <c r="IO37" s="212"/>
      <c r="IP37" s="212"/>
      <c r="IQ37" s="213"/>
      <c r="IR37" s="212"/>
      <c r="IS37" s="212"/>
      <c r="IT37" s="212"/>
      <c r="IU37" s="212"/>
      <c r="IV37" s="212"/>
      <c r="IW37" s="214"/>
      <c r="IX37" s="212"/>
      <c r="IY37" s="212"/>
      <c r="IZ37" s="212"/>
      <c r="JA37" s="212"/>
      <c r="JB37" s="226"/>
      <c r="JC37" s="228"/>
      <c r="JD37" s="226"/>
      <c r="JE37" s="226"/>
      <c r="JF37" s="226"/>
      <c r="JG37" s="226"/>
      <c r="JH37" s="226"/>
      <c r="JI37" s="227"/>
      <c r="JJ37" s="226"/>
      <c r="JK37" s="226"/>
      <c r="JL37" s="226"/>
      <c r="JM37" s="226"/>
      <c r="JN37" s="226"/>
      <c r="JO37" s="228"/>
      <c r="JP37" s="226"/>
      <c r="JQ37" s="212"/>
      <c r="JR37" s="212"/>
      <c r="JS37" s="212"/>
      <c r="JT37" s="212"/>
      <c r="JU37" s="214"/>
      <c r="JV37" s="212"/>
      <c r="JW37" s="212"/>
      <c r="JX37" s="212"/>
      <c r="JY37" s="212"/>
      <c r="JZ37" s="212"/>
      <c r="KA37" s="215"/>
      <c r="KB37" s="212"/>
      <c r="KC37" s="212"/>
      <c r="KD37" s="212"/>
      <c r="KE37" s="212"/>
      <c r="KF37" s="212"/>
      <c r="KG37" s="214"/>
      <c r="KH37" s="212"/>
      <c r="KI37" s="212"/>
      <c r="KJ37" s="212"/>
      <c r="KK37" s="212"/>
      <c r="KL37" s="212"/>
      <c r="KM37" s="215"/>
      <c r="KN37" s="212"/>
      <c r="KO37" s="212"/>
      <c r="KP37" s="212"/>
      <c r="KQ37" s="212"/>
      <c r="KR37" s="212"/>
      <c r="KS37" s="216"/>
      <c r="KT37" s="211"/>
      <c r="KU37" s="212"/>
      <c r="KV37" s="212"/>
      <c r="KW37" s="212"/>
      <c r="KX37" s="212"/>
      <c r="KY37" s="213"/>
      <c r="KZ37" s="212"/>
      <c r="LA37" s="212"/>
      <c r="LB37" s="212"/>
      <c r="LC37" s="212"/>
      <c r="LD37" s="212"/>
      <c r="LE37" s="214"/>
      <c r="LF37" s="212"/>
      <c r="LG37" s="212"/>
      <c r="LH37" s="212"/>
      <c r="LI37" s="212"/>
      <c r="LJ37" s="212"/>
      <c r="LK37" s="215"/>
      <c r="LL37" s="212"/>
      <c r="LM37" s="212"/>
      <c r="LN37" s="212"/>
      <c r="LO37" s="212"/>
      <c r="LP37" s="212"/>
      <c r="LQ37" s="214"/>
      <c r="LR37" s="212"/>
      <c r="LS37" s="212"/>
      <c r="LT37" s="212"/>
      <c r="LU37" s="212"/>
      <c r="LV37" s="212"/>
      <c r="LW37" s="215"/>
      <c r="LX37" s="212"/>
      <c r="LY37" s="212"/>
      <c r="LZ37" s="212"/>
      <c r="MA37" s="212"/>
      <c r="MB37" s="212"/>
      <c r="MC37" s="214"/>
      <c r="MD37" s="212"/>
      <c r="ME37" s="212"/>
      <c r="MF37" s="212"/>
      <c r="MG37" s="212"/>
      <c r="MH37" s="212"/>
      <c r="MI37" s="215"/>
      <c r="MJ37" s="212"/>
      <c r="MK37" s="212"/>
      <c r="ML37" s="212"/>
      <c r="MM37" s="212"/>
      <c r="MN37" s="212"/>
      <c r="MO37" s="214"/>
      <c r="MP37" s="212"/>
      <c r="MQ37" s="212"/>
      <c r="MR37" s="212"/>
      <c r="MS37" s="212"/>
      <c r="MT37" s="212"/>
      <c r="MU37" s="215"/>
      <c r="MV37" s="212"/>
      <c r="MW37" s="212"/>
      <c r="MX37" s="212"/>
      <c r="MY37" s="212"/>
      <c r="MZ37" s="212"/>
      <c r="NA37" s="216"/>
      <c r="NB37" s="211"/>
      <c r="NC37" s="212"/>
      <c r="ND37" s="212"/>
      <c r="NE37" s="212"/>
      <c r="NF37" s="212"/>
      <c r="NG37" s="213"/>
      <c r="NH37" s="212"/>
      <c r="NI37" s="212"/>
      <c r="NJ37" s="212"/>
      <c r="NK37" s="212"/>
      <c r="NL37" s="212"/>
      <c r="NM37" s="214"/>
      <c r="NN37" s="212"/>
      <c r="NO37" s="212"/>
      <c r="NP37" s="212"/>
      <c r="NQ37" s="212"/>
      <c r="NR37" s="212"/>
      <c r="NS37" s="215"/>
      <c r="NT37" s="212"/>
      <c r="NU37" s="212"/>
      <c r="NV37" s="212"/>
      <c r="NW37" s="212"/>
      <c r="NX37" s="212"/>
      <c r="NY37" s="214"/>
      <c r="NZ37" s="212"/>
      <c r="OA37" s="212"/>
      <c r="OB37" s="212"/>
      <c r="OC37" s="212"/>
      <c r="OD37" s="212"/>
      <c r="OE37" s="215"/>
      <c r="OF37" s="212"/>
      <c r="OG37" s="212"/>
      <c r="OH37" s="212"/>
      <c r="OI37" s="212"/>
      <c r="OJ37" s="212"/>
      <c r="OK37" s="214"/>
      <c r="OL37" s="212"/>
      <c r="OM37" s="212"/>
      <c r="ON37" s="212"/>
      <c r="OO37" s="212"/>
      <c r="OP37" s="212"/>
      <c r="OQ37" s="215"/>
      <c r="OR37" s="212"/>
      <c r="OS37" s="212"/>
      <c r="OT37" s="212"/>
      <c r="OU37" s="212"/>
      <c r="OV37" s="212"/>
      <c r="OW37" s="214"/>
      <c r="OX37" s="212"/>
      <c r="OY37" s="212"/>
      <c r="OZ37" s="212"/>
      <c r="PA37" s="212"/>
      <c r="PB37" s="212"/>
      <c r="PC37" s="215"/>
      <c r="PD37" s="212"/>
      <c r="PE37" s="212"/>
      <c r="PF37" s="212"/>
      <c r="PG37" s="212"/>
      <c r="PH37" s="212"/>
      <c r="PI37" s="216"/>
      <c r="PJ37" s="211"/>
      <c r="PK37" s="212"/>
      <c r="PL37" s="212"/>
      <c r="PM37" s="212"/>
      <c r="PN37" s="212"/>
      <c r="PO37" s="213"/>
      <c r="PP37" s="212"/>
      <c r="PQ37" s="212"/>
      <c r="PR37" s="212"/>
      <c r="PS37" s="212"/>
      <c r="PT37" s="212"/>
      <c r="PU37" s="214"/>
      <c r="PV37" s="212"/>
      <c r="PW37" s="212"/>
      <c r="PX37" s="212"/>
      <c r="PY37" s="212"/>
      <c r="PZ37" s="212"/>
      <c r="QA37" s="215"/>
      <c r="QB37" s="212"/>
      <c r="QC37" s="212"/>
      <c r="QD37" s="212"/>
      <c r="QE37" s="212"/>
      <c r="QF37" s="212"/>
      <c r="QG37" s="214"/>
      <c r="QH37" s="212"/>
      <c r="QI37" s="212"/>
      <c r="QJ37" s="212"/>
      <c r="QK37" s="212"/>
      <c r="QL37" s="212"/>
      <c r="QM37" s="215"/>
      <c r="QN37" s="212"/>
      <c r="QO37" s="212"/>
      <c r="QP37" s="212"/>
      <c r="QQ37" s="212"/>
      <c r="QR37" s="212"/>
      <c r="QS37" s="214"/>
      <c r="QT37" s="212"/>
      <c r="QU37" s="212"/>
      <c r="QV37" s="212"/>
      <c r="QW37" s="212"/>
      <c r="QX37" s="212"/>
      <c r="QY37" s="215"/>
      <c r="QZ37" s="212"/>
      <c r="RA37" s="212"/>
      <c r="RB37" s="212"/>
      <c r="RC37" s="212"/>
      <c r="RD37" s="212"/>
      <c r="RE37" s="214"/>
      <c r="RF37" s="212"/>
      <c r="RG37" s="212"/>
      <c r="RH37" s="212"/>
      <c r="RI37" s="212"/>
      <c r="RJ37" s="212"/>
      <c r="RK37" s="215"/>
      <c r="RL37" s="212"/>
      <c r="RM37" s="212"/>
      <c r="RN37" s="212"/>
      <c r="RO37" s="212"/>
      <c r="RP37" s="212"/>
      <c r="RQ37" s="216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73"/>
    </row>
    <row r="38" spans="1:1326" ht="20.100000000000001" customHeight="1" x14ac:dyDescent="0.3">
      <c r="A38" s="78" t="s">
        <v>27</v>
      </c>
      <c r="B38" s="51" t="str">
        <f>IF(LEN(C61)=0,"",C61)</f>
        <v>Entretien initial expert 1</v>
      </c>
      <c r="C38" s="164"/>
      <c r="D38" s="121" t="str">
        <f t="shared" si="0"/>
        <v>90h</v>
      </c>
      <c r="E38" s="30">
        <v>1080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73"/>
    </row>
    <row r="39" spans="1:1326" ht="20.100000000000001" customHeight="1" x14ac:dyDescent="0.25">
      <c r="A39" s="78" t="s">
        <v>26</v>
      </c>
      <c r="B39" s="51" t="str">
        <f>IF(LEN(C63)=0,"",C63)</f>
        <v>Frontend - Bases des pages principales</v>
      </c>
      <c r="C39" s="163" t="s">
        <v>55</v>
      </c>
      <c r="D39" s="119" t="str">
        <f t="shared" si="0"/>
        <v>90h</v>
      </c>
      <c r="E39" s="34">
        <v>1080</v>
      </c>
      <c r="F39" s="217"/>
      <c r="G39" s="218"/>
      <c r="H39" s="218"/>
      <c r="I39" s="218"/>
      <c r="J39" s="218"/>
      <c r="K39" s="219"/>
      <c r="L39" s="218"/>
      <c r="M39" s="218"/>
      <c r="N39" s="218"/>
      <c r="O39" s="218"/>
      <c r="P39" s="218"/>
      <c r="Q39" s="220"/>
      <c r="R39" s="218"/>
      <c r="S39" s="218"/>
      <c r="T39" s="218"/>
      <c r="U39" s="218"/>
      <c r="V39" s="218"/>
      <c r="W39" s="221"/>
      <c r="X39" s="218"/>
      <c r="Y39" s="218"/>
      <c r="Z39" s="218"/>
      <c r="AA39" s="218"/>
      <c r="AB39" s="218"/>
      <c r="AC39" s="220"/>
      <c r="AD39" s="218"/>
      <c r="AE39" s="218"/>
      <c r="AF39" s="218"/>
      <c r="AG39" s="218"/>
      <c r="AH39" s="218"/>
      <c r="AI39" s="221"/>
      <c r="AJ39" s="218"/>
      <c r="AK39" s="218"/>
      <c r="AL39" s="218"/>
      <c r="AM39" s="218"/>
      <c r="AN39" s="218"/>
      <c r="AO39" s="220"/>
      <c r="AP39" s="218"/>
      <c r="AQ39" s="218"/>
      <c r="AR39" s="218"/>
      <c r="AS39" s="218"/>
      <c r="AT39" s="218"/>
      <c r="AU39" s="221"/>
      <c r="AV39" s="218"/>
      <c r="AW39" s="218"/>
      <c r="AX39" s="218"/>
      <c r="AY39" s="218"/>
      <c r="AZ39" s="218"/>
      <c r="BA39" s="220"/>
      <c r="BB39" s="218"/>
      <c r="BC39" s="218"/>
      <c r="BD39" s="218"/>
      <c r="BE39" s="218"/>
      <c r="BF39" s="218"/>
      <c r="BG39" s="221"/>
      <c r="BH39" s="218"/>
      <c r="BI39" s="218"/>
      <c r="BJ39" s="218"/>
      <c r="BK39" s="218"/>
      <c r="BL39" s="218"/>
      <c r="BM39" s="222"/>
      <c r="BN39" s="217"/>
      <c r="BO39" s="218"/>
      <c r="BP39" s="218"/>
      <c r="BQ39" s="218"/>
      <c r="BR39" s="218"/>
      <c r="BS39" s="219"/>
      <c r="BT39" s="218"/>
      <c r="BU39" s="218"/>
      <c r="BV39" s="218"/>
      <c r="BW39" s="218"/>
      <c r="BX39" s="218"/>
      <c r="BY39" s="220"/>
      <c r="BZ39" s="218"/>
      <c r="CA39" s="218"/>
      <c r="CB39" s="218"/>
      <c r="CC39" s="218"/>
      <c r="CD39" s="218"/>
      <c r="CE39" s="221"/>
      <c r="CF39" s="218"/>
      <c r="CG39" s="218"/>
      <c r="CH39" s="218"/>
      <c r="CI39" s="218"/>
      <c r="CJ39" s="218"/>
      <c r="CK39" s="220"/>
      <c r="CL39" s="218"/>
      <c r="CM39" s="218"/>
      <c r="CN39" s="218"/>
      <c r="CO39" s="218"/>
      <c r="CP39" s="218"/>
      <c r="CQ39" s="221"/>
      <c r="CR39" s="218"/>
      <c r="CS39" s="218"/>
      <c r="CT39" s="218"/>
      <c r="CU39" s="218"/>
      <c r="CV39" s="218"/>
      <c r="CW39" s="220"/>
      <c r="CX39" s="218"/>
      <c r="CY39" s="218"/>
      <c r="CZ39" s="218"/>
      <c r="DA39" s="218"/>
      <c r="DB39" s="218"/>
      <c r="DC39" s="221"/>
      <c r="DD39" s="218"/>
      <c r="DE39" s="218"/>
      <c r="DF39" s="218"/>
      <c r="DG39" s="218"/>
      <c r="DH39" s="218"/>
      <c r="DI39" s="220"/>
      <c r="DJ39" s="218"/>
      <c r="DK39" s="218"/>
      <c r="DL39" s="218"/>
      <c r="DM39" s="218"/>
      <c r="DN39" s="218"/>
      <c r="DO39" s="221"/>
      <c r="DP39" s="218"/>
      <c r="DQ39" s="218"/>
      <c r="DR39" s="218"/>
      <c r="DS39" s="218"/>
      <c r="DT39" s="218"/>
      <c r="DU39" s="222"/>
      <c r="DV39" s="217"/>
      <c r="DW39" s="218"/>
      <c r="DX39" s="218"/>
      <c r="DY39" s="218"/>
      <c r="DZ39" s="218"/>
      <c r="EA39" s="219"/>
      <c r="EB39" s="218"/>
      <c r="EC39" s="218"/>
      <c r="ED39" s="218"/>
      <c r="EE39" s="218"/>
      <c r="EF39" s="218"/>
      <c r="EG39" s="220"/>
      <c r="EH39" s="218"/>
      <c r="EI39" s="218"/>
      <c r="EJ39" s="218"/>
      <c r="EK39" s="218"/>
      <c r="EL39" s="218"/>
      <c r="EM39" s="221"/>
      <c r="EN39" s="218"/>
      <c r="EO39" s="218"/>
      <c r="EP39" s="218"/>
      <c r="EQ39" s="218"/>
      <c r="ER39" s="218"/>
      <c r="ES39" s="220"/>
      <c r="ET39" s="218"/>
      <c r="EU39" s="218"/>
      <c r="EV39" s="218"/>
      <c r="EW39" s="218"/>
      <c r="EX39" s="218"/>
      <c r="EY39" s="221"/>
      <c r="EZ39" s="218"/>
      <c r="FA39" s="218"/>
      <c r="FB39" s="218"/>
      <c r="FC39" s="218"/>
      <c r="FD39" s="218"/>
      <c r="FE39" s="220"/>
      <c r="FF39" s="218"/>
      <c r="FG39" s="218"/>
      <c r="FH39" s="218"/>
      <c r="FI39" s="218"/>
      <c r="FJ39" s="218"/>
      <c r="FK39" s="221"/>
      <c r="FL39" s="218"/>
      <c r="FM39" s="218"/>
      <c r="FN39" s="218"/>
      <c r="FO39" s="218"/>
      <c r="FP39" s="218"/>
      <c r="FQ39" s="220"/>
      <c r="FR39" s="218"/>
      <c r="FS39" s="218"/>
      <c r="FT39" s="218"/>
      <c r="FU39" s="218"/>
      <c r="FV39" s="218"/>
      <c r="FW39" s="221"/>
      <c r="FX39" s="218"/>
      <c r="FY39" s="218"/>
      <c r="FZ39" s="218"/>
      <c r="GA39" s="218"/>
      <c r="GB39" s="218"/>
      <c r="GC39" s="222"/>
      <c r="GD39" s="217"/>
      <c r="GE39" s="218"/>
      <c r="GF39" s="218"/>
      <c r="GG39" s="218"/>
      <c r="GH39" s="218"/>
      <c r="GI39" s="219"/>
      <c r="GJ39" s="218"/>
      <c r="GK39" s="218"/>
      <c r="GL39" s="218"/>
      <c r="GM39" s="218"/>
      <c r="GN39" s="218"/>
      <c r="GO39" s="220"/>
      <c r="GP39" s="218"/>
      <c r="GQ39" s="218"/>
      <c r="GR39" s="218"/>
      <c r="GS39" s="218"/>
      <c r="GT39" s="218"/>
      <c r="GU39" s="221"/>
      <c r="GV39" s="218"/>
      <c r="GW39" s="218"/>
      <c r="GX39" s="218"/>
      <c r="GY39" s="218"/>
      <c r="GZ39" s="218"/>
      <c r="HA39" s="220"/>
      <c r="HB39" s="218"/>
      <c r="HC39" s="218"/>
      <c r="HD39" s="218"/>
      <c r="HE39" s="218"/>
      <c r="HF39" s="218"/>
      <c r="HG39" s="221"/>
      <c r="HH39" s="218"/>
      <c r="HI39" s="218"/>
      <c r="HJ39" s="218"/>
      <c r="HK39" s="218"/>
      <c r="HL39" s="218"/>
      <c r="HM39" s="220"/>
      <c r="HN39" s="218"/>
      <c r="HO39" s="218"/>
      <c r="HP39" s="218"/>
      <c r="HQ39" s="218"/>
      <c r="HR39" s="218"/>
      <c r="HS39" s="221"/>
      <c r="HT39" s="218"/>
      <c r="HU39" s="218"/>
      <c r="HV39" s="218"/>
      <c r="HW39" s="218"/>
      <c r="HX39" s="218"/>
      <c r="HY39" s="220"/>
      <c r="HZ39" s="218"/>
      <c r="IA39" s="218"/>
      <c r="IB39" s="218"/>
      <c r="IC39" s="218"/>
      <c r="ID39" s="218"/>
      <c r="IE39" s="221"/>
      <c r="IF39" s="218"/>
      <c r="IG39" s="218"/>
      <c r="IH39" s="218"/>
      <c r="II39" s="218"/>
      <c r="IJ39" s="218"/>
      <c r="IK39" s="222"/>
      <c r="IL39" s="217"/>
      <c r="IM39" s="218"/>
      <c r="IN39" s="218"/>
      <c r="IO39" s="218"/>
      <c r="IP39" s="218"/>
      <c r="IQ39" s="219"/>
      <c r="IR39" s="218"/>
      <c r="IS39" s="218"/>
      <c r="IT39" s="218"/>
      <c r="IU39" s="218"/>
      <c r="IV39" s="218"/>
      <c r="IW39" s="220"/>
      <c r="IX39" s="218"/>
      <c r="IY39" s="218"/>
      <c r="IZ39" s="218"/>
      <c r="JA39" s="218"/>
      <c r="JB39" s="218"/>
      <c r="JC39" s="221"/>
      <c r="JD39" s="218"/>
      <c r="JE39" s="218"/>
      <c r="JF39" s="218"/>
      <c r="JG39" s="218"/>
      <c r="JH39" s="218"/>
      <c r="JI39" s="220"/>
      <c r="JJ39" s="218"/>
      <c r="JK39" s="218"/>
      <c r="JL39" s="218"/>
      <c r="JM39" s="218"/>
      <c r="JN39" s="218"/>
      <c r="JO39" s="221"/>
      <c r="JP39" s="218"/>
      <c r="JQ39" s="218"/>
      <c r="JR39" s="218"/>
      <c r="JS39" s="218"/>
      <c r="JT39" s="218"/>
      <c r="JU39" s="220"/>
      <c r="JV39" s="218"/>
      <c r="JW39" s="218"/>
      <c r="JX39" s="218"/>
      <c r="JY39" s="218"/>
      <c r="JZ39" s="218"/>
      <c r="KA39" s="221"/>
      <c r="KB39" s="218"/>
      <c r="KC39" s="218"/>
      <c r="KD39" s="218"/>
      <c r="KE39" s="218"/>
      <c r="KF39" s="218"/>
      <c r="KG39" s="220"/>
      <c r="KH39" s="218"/>
      <c r="KI39" s="218"/>
      <c r="KJ39" s="218"/>
      <c r="KK39" s="218"/>
      <c r="KL39" s="218"/>
      <c r="KM39" s="221"/>
      <c r="KN39" s="218"/>
      <c r="KO39" s="218"/>
      <c r="KP39" s="218"/>
      <c r="KQ39" s="218"/>
      <c r="KR39" s="218"/>
      <c r="KS39" s="222"/>
      <c r="KT39" s="217"/>
      <c r="KU39" s="218"/>
      <c r="KV39" s="218"/>
      <c r="KW39" s="218"/>
      <c r="KX39" s="218"/>
      <c r="KY39" s="219"/>
      <c r="KZ39" s="218"/>
      <c r="LA39" s="218"/>
      <c r="LB39" s="218"/>
      <c r="LC39" s="218"/>
      <c r="LD39" s="218"/>
      <c r="LE39" s="220"/>
      <c r="LF39" s="218"/>
      <c r="LG39" s="218"/>
      <c r="LH39" s="218"/>
      <c r="LI39" s="218"/>
      <c r="LJ39" s="218"/>
      <c r="LK39" s="221"/>
      <c r="LL39" s="218"/>
      <c r="LM39" s="218"/>
      <c r="LN39" s="218"/>
      <c r="LO39" s="218"/>
      <c r="LP39" s="218"/>
      <c r="LQ39" s="220"/>
      <c r="LR39" s="218"/>
      <c r="LS39" s="218"/>
      <c r="LT39" s="218"/>
      <c r="LU39" s="218"/>
      <c r="LV39" s="218"/>
      <c r="LW39" s="221"/>
      <c r="LX39" s="218"/>
      <c r="LY39" s="218"/>
      <c r="LZ39" s="218"/>
      <c r="MA39" s="218"/>
      <c r="MB39" s="218"/>
      <c r="MC39" s="220"/>
      <c r="MD39" s="218"/>
      <c r="ME39" s="218"/>
      <c r="MF39" s="218"/>
      <c r="MG39" s="218"/>
      <c r="MH39" s="218"/>
      <c r="MI39" s="221"/>
      <c r="MJ39" s="218"/>
      <c r="MK39" s="218"/>
      <c r="ML39" s="218"/>
      <c r="MM39" s="218"/>
      <c r="MN39" s="218"/>
      <c r="MO39" s="220"/>
      <c r="MP39" s="218"/>
      <c r="MQ39" s="218"/>
      <c r="MR39" s="218"/>
      <c r="MS39" s="218"/>
      <c r="MT39" s="218"/>
      <c r="MU39" s="221"/>
      <c r="MV39" s="218"/>
      <c r="MW39" s="218"/>
      <c r="MX39" s="218"/>
      <c r="MY39" s="218"/>
      <c r="MZ39" s="218"/>
      <c r="NA39" s="222"/>
      <c r="NB39" s="217"/>
      <c r="NC39" s="218"/>
      <c r="ND39" s="218"/>
      <c r="NE39" s="218"/>
      <c r="NF39" s="218"/>
      <c r="NG39" s="219"/>
      <c r="NH39" s="218"/>
      <c r="NI39" s="218"/>
      <c r="NJ39" s="218"/>
      <c r="NK39" s="218"/>
      <c r="NL39" s="218"/>
      <c r="NM39" s="220"/>
      <c r="NN39" s="218"/>
      <c r="NO39" s="218"/>
      <c r="NP39" s="218"/>
      <c r="NQ39" s="218"/>
      <c r="NR39" s="218"/>
      <c r="NS39" s="221"/>
      <c r="NT39" s="218"/>
      <c r="NU39" s="218"/>
      <c r="NV39" s="218"/>
      <c r="NW39" s="218"/>
      <c r="NX39" s="218"/>
      <c r="NY39" s="220"/>
      <c r="NZ39" s="218"/>
      <c r="OA39" s="218"/>
      <c r="OB39" s="218"/>
      <c r="OC39" s="218"/>
      <c r="OD39" s="218"/>
      <c r="OE39" s="221"/>
      <c r="OF39" s="218"/>
      <c r="OG39" s="218"/>
      <c r="OH39" s="218"/>
      <c r="OI39" s="218"/>
      <c r="OJ39" s="218"/>
      <c r="OK39" s="220"/>
      <c r="OL39" s="218"/>
      <c r="OM39" s="218"/>
      <c r="ON39" s="218"/>
      <c r="OO39" s="218"/>
      <c r="OP39" s="218"/>
      <c r="OQ39" s="221"/>
      <c r="OR39" s="218"/>
      <c r="OS39" s="218"/>
      <c r="OT39" s="218"/>
      <c r="OU39" s="218"/>
      <c r="OV39" s="218"/>
      <c r="OW39" s="220"/>
      <c r="OX39" s="218"/>
      <c r="OY39" s="218"/>
      <c r="OZ39" s="218"/>
      <c r="PA39" s="218"/>
      <c r="PB39" s="218"/>
      <c r="PC39" s="221"/>
      <c r="PD39" s="218"/>
      <c r="PE39" s="218"/>
      <c r="PF39" s="218"/>
      <c r="PG39" s="218"/>
      <c r="PH39" s="218"/>
      <c r="PI39" s="222"/>
      <c r="PJ39" s="217"/>
      <c r="PK39" s="218"/>
      <c r="PL39" s="218"/>
      <c r="PM39" s="218"/>
      <c r="PN39" s="218"/>
      <c r="PO39" s="219"/>
      <c r="PP39" s="218"/>
      <c r="PQ39" s="218"/>
      <c r="PR39" s="218"/>
      <c r="PS39" s="218"/>
      <c r="PT39" s="218"/>
      <c r="PU39" s="220"/>
      <c r="PV39" s="218"/>
      <c r="PW39" s="218"/>
      <c r="PX39" s="218"/>
      <c r="PY39" s="218"/>
      <c r="PZ39" s="218"/>
      <c r="QA39" s="221"/>
      <c r="QB39" s="218"/>
      <c r="QC39" s="218"/>
      <c r="QD39" s="218"/>
      <c r="QE39" s="218"/>
      <c r="QF39" s="218"/>
      <c r="QG39" s="220"/>
      <c r="QH39" s="218"/>
      <c r="QI39" s="218"/>
      <c r="QJ39" s="218"/>
      <c r="QK39" s="218"/>
      <c r="QL39" s="218"/>
      <c r="QM39" s="221"/>
      <c r="QN39" s="218"/>
      <c r="QO39" s="218"/>
      <c r="QP39" s="218"/>
      <c r="QQ39" s="218"/>
      <c r="QR39" s="218"/>
      <c r="QS39" s="220"/>
      <c r="QT39" s="218"/>
      <c r="QU39" s="218"/>
      <c r="QV39" s="218"/>
      <c r="QW39" s="218"/>
      <c r="QX39" s="218"/>
      <c r="QY39" s="221"/>
      <c r="QZ39" s="218"/>
      <c r="RA39" s="218"/>
      <c r="RB39" s="218"/>
      <c r="RC39" s="218"/>
      <c r="RD39" s="218"/>
      <c r="RE39" s="220"/>
      <c r="RF39" s="218"/>
      <c r="RG39" s="218"/>
      <c r="RH39" s="218"/>
      <c r="RI39" s="218"/>
      <c r="RJ39" s="218"/>
      <c r="RK39" s="221"/>
      <c r="RL39" s="218"/>
      <c r="RM39" s="218"/>
      <c r="RN39" s="218"/>
      <c r="RO39" s="218"/>
      <c r="RP39" s="218"/>
      <c r="RQ39" s="222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36"/>
      <c r="ZD39" s="36"/>
      <c r="ZE39" s="36"/>
      <c r="ZF39" s="36"/>
      <c r="ZG39" s="59"/>
      <c r="ZH39" s="36"/>
      <c r="ZI39" s="36"/>
      <c r="ZJ39" s="36"/>
      <c r="ZK39" s="36"/>
      <c r="ZL39" s="36"/>
      <c r="ZM39" s="112"/>
      <c r="ZN39" s="36"/>
      <c r="ZO39" s="36"/>
      <c r="ZP39" s="36"/>
      <c r="ZQ39" s="36"/>
      <c r="ZR39" s="36"/>
      <c r="ZS39" s="59"/>
      <c r="ZT39" s="36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73"/>
    </row>
    <row r="40" spans="1:1326" ht="20.100000000000001" customHeight="1" x14ac:dyDescent="0.25">
      <c r="A40" s="78" t="s">
        <v>27</v>
      </c>
      <c r="B40" s="51" t="str">
        <f>IF(LEN(C65)=0,"",C65)</f>
        <v>Frontend - Détails/revue et finalisastions</v>
      </c>
      <c r="C40" s="169"/>
      <c r="D40" s="120" t="str">
        <f t="shared" si="0"/>
        <v>90h</v>
      </c>
      <c r="E40" s="22">
        <v>1080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73"/>
    </row>
    <row r="41" spans="1:1326" ht="20.100000000000001" customHeight="1" x14ac:dyDescent="0.25">
      <c r="A41" s="78" t="s">
        <v>26</v>
      </c>
      <c r="B41" s="51" t="str">
        <f>IF(LEN(C67)=0,"",C67)</f>
        <v>Frontend - gestion des erreurs</v>
      </c>
      <c r="C41" s="163" t="s">
        <v>56</v>
      </c>
      <c r="D41" s="119" t="str">
        <f t="shared" si="0"/>
        <v>90h</v>
      </c>
      <c r="E41" s="26">
        <v>1080</v>
      </c>
      <c r="F41" s="211"/>
      <c r="G41" s="212"/>
      <c r="H41" s="212"/>
      <c r="I41" s="212"/>
      <c r="J41" s="212"/>
      <c r="K41" s="213"/>
      <c r="L41" s="212"/>
      <c r="M41" s="212"/>
      <c r="N41" s="212"/>
      <c r="O41" s="212"/>
      <c r="P41" s="212"/>
      <c r="Q41" s="214"/>
      <c r="R41" s="212"/>
      <c r="S41" s="212"/>
      <c r="T41" s="212"/>
      <c r="U41" s="212"/>
      <c r="V41" s="212"/>
      <c r="W41" s="215"/>
      <c r="X41" s="212"/>
      <c r="Y41" s="212"/>
      <c r="Z41" s="212"/>
      <c r="AA41" s="212"/>
      <c r="AB41" s="212"/>
      <c r="AC41" s="214"/>
      <c r="AD41" s="212"/>
      <c r="AE41" s="212"/>
      <c r="AF41" s="212"/>
      <c r="AG41" s="212"/>
      <c r="AH41" s="212"/>
      <c r="AI41" s="215"/>
      <c r="AJ41" s="212"/>
      <c r="AK41" s="212"/>
      <c r="AL41" s="212"/>
      <c r="AM41" s="212"/>
      <c r="AN41" s="212"/>
      <c r="AO41" s="214"/>
      <c r="AP41" s="212"/>
      <c r="AQ41" s="212"/>
      <c r="AR41" s="212"/>
      <c r="AS41" s="212"/>
      <c r="AT41" s="212"/>
      <c r="AU41" s="215"/>
      <c r="AV41" s="212"/>
      <c r="AW41" s="212"/>
      <c r="AX41" s="212"/>
      <c r="AY41" s="212"/>
      <c r="AZ41" s="212"/>
      <c r="BA41" s="214"/>
      <c r="BB41" s="212"/>
      <c r="BC41" s="212"/>
      <c r="BD41" s="212"/>
      <c r="BE41" s="212"/>
      <c r="BF41" s="212"/>
      <c r="BG41" s="215"/>
      <c r="BH41" s="212"/>
      <c r="BI41" s="212"/>
      <c r="BJ41" s="212"/>
      <c r="BK41" s="212"/>
      <c r="BL41" s="212"/>
      <c r="BM41" s="216"/>
      <c r="BN41" s="211"/>
      <c r="BO41" s="212"/>
      <c r="BP41" s="212"/>
      <c r="BQ41" s="212"/>
      <c r="BR41" s="212"/>
      <c r="BS41" s="213"/>
      <c r="BT41" s="212"/>
      <c r="BU41" s="212"/>
      <c r="BV41" s="212"/>
      <c r="BW41" s="212"/>
      <c r="BX41" s="212"/>
      <c r="BY41" s="214"/>
      <c r="BZ41" s="212"/>
      <c r="CA41" s="212"/>
      <c r="CB41" s="212"/>
      <c r="CC41" s="212"/>
      <c r="CD41" s="212"/>
      <c r="CE41" s="215"/>
      <c r="CF41" s="212"/>
      <c r="CG41" s="212"/>
      <c r="CH41" s="212"/>
      <c r="CI41" s="212"/>
      <c r="CJ41" s="212"/>
      <c r="CK41" s="214"/>
      <c r="CL41" s="212"/>
      <c r="CM41" s="212"/>
      <c r="CN41" s="212"/>
      <c r="CO41" s="212"/>
      <c r="CP41" s="212"/>
      <c r="CQ41" s="215"/>
      <c r="CR41" s="212"/>
      <c r="CS41" s="212"/>
      <c r="CT41" s="212"/>
      <c r="CU41" s="212"/>
      <c r="CV41" s="212"/>
      <c r="CW41" s="214"/>
      <c r="CX41" s="212"/>
      <c r="CY41" s="212"/>
      <c r="CZ41" s="212"/>
      <c r="DA41" s="212"/>
      <c r="DB41" s="212"/>
      <c r="DC41" s="215"/>
      <c r="DD41" s="212"/>
      <c r="DE41" s="212"/>
      <c r="DF41" s="212"/>
      <c r="DG41" s="212"/>
      <c r="DH41" s="212"/>
      <c r="DI41" s="214"/>
      <c r="DJ41" s="212"/>
      <c r="DK41" s="212"/>
      <c r="DL41" s="212"/>
      <c r="DM41" s="212"/>
      <c r="DN41" s="212"/>
      <c r="DO41" s="215"/>
      <c r="DP41" s="212"/>
      <c r="DQ41" s="212"/>
      <c r="DR41" s="212"/>
      <c r="DS41" s="212"/>
      <c r="DT41" s="212"/>
      <c r="DU41" s="216"/>
      <c r="DV41" s="211"/>
      <c r="DW41" s="212"/>
      <c r="DX41" s="212"/>
      <c r="DY41" s="212"/>
      <c r="DZ41" s="212"/>
      <c r="EA41" s="213"/>
      <c r="EB41" s="212"/>
      <c r="EC41" s="212"/>
      <c r="ED41" s="212"/>
      <c r="EE41" s="212"/>
      <c r="EF41" s="212"/>
      <c r="EG41" s="214"/>
      <c r="EH41" s="212"/>
      <c r="EI41" s="212"/>
      <c r="EJ41" s="212"/>
      <c r="EK41" s="212"/>
      <c r="EL41" s="212"/>
      <c r="EM41" s="215"/>
      <c r="EN41" s="212"/>
      <c r="EO41" s="212"/>
      <c r="EP41" s="212"/>
      <c r="EQ41" s="212"/>
      <c r="ER41" s="212"/>
      <c r="ES41" s="214"/>
      <c r="ET41" s="212"/>
      <c r="EU41" s="212"/>
      <c r="EV41" s="212"/>
      <c r="EW41" s="212"/>
      <c r="EX41" s="212"/>
      <c r="EY41" s="215"/>
      <c r="EZ41" s="212"/>
      <c r="FA41" s="212"/>
      <c r="FB41" s="212"/>
      <c r="FC41" s="212"/>
      <c r="FD41" s="212"/>
      <c r="FE41" s="214"/>
      <c r="FF41" s="212"/>
      <c r="FG41" s="212"/>
      <c r="FH41" s="212"/>
      <c r="FI41" s="212"/>
      <c r="FJ41" s="212"/>
      <c r="FK41" s="215"/>
      <c r="FL41" s="212"/>
      <c r="FM41" s="212"/>
      <c r="FN41" s="212"/>
      <c r="FO41" s="212"/>
      <c r="FP41" s="212"/>
      <c r="FQ41" s="214"/>
      <c r="FR41" s="212"/>
      <c r="FS41" s="212"/>
      <c r="FT41" s="212"/>
      <c r="FU41" s="212"/>
      <c r="FV41" s="212"/>
      <c r="FW41" s="215"/>
      <c r="FX41" s="212"/>
      <c r="FY41" s="212"/>
      <c r="FZ41" s="212"/>
      <c r="GA41" s="212"/>
      <c r="GB41" s="212"/>
      <c r="GC41" s="216"/>
      <c r="GD41" s="211"/>
      <c r="GE41" s="212"/>
      <c r="GF41" s="212"/>
      <c r="GG41" s="212"/>
      <c r="GH41" s="212"/>
      <c r="GI41" s="213"/>
      <c r="GJ41" s="212"/>
      <c r="GK41" s="212"/>
      <c r="GL41" s="212"/>
      <c r="GM41" s="212"/>
      <c r="GN41" s="212"/>
      <c r="GO41" s="214"/>
      <c r="GP41" s="212"/>
      <c r="GQ41" s="212"/>
      <c r="GR41" s="212"/>
      <c r="GS41" s="212"/>
      <c r="GT41" s="212"/>
      <c r="GU41" s="215"/>
      <c r="GV41" s="212"/>
      <c r="GW41" s="212"/>
      <c r="GX41" s="212"/>
      <c r="GY41" s="212"/>
      <c r="GZ41" s="212"/>
      <c r="HA41" s="214"/>
      <c r="HB41" s="212"/>
      <c r="HC41" s="212"/>
      <c r="HD41" s="212"/>
      <c r="HE41" s="212"/>
      <c r="HF41" s="212"/>
      <c r="HG41" s="215"/>
      <c r="HH41" s="212"/>
      <c r="HI41" s="212"/>
      <c r="HJ41" s="212"/>
      <c r="HK41" s="212"/>
      <c r="HL41" s="212"/>
      <c r="HM41" s="214"/>
      <c r="HN41" s="212"/>
      <c r="HO41" s="212"/>
      <c r="HP41" s="212"/>
      <c r="HQ41" s="212"/>
      <c r="HR41" s="212"/>
      <c r="HS41" s="215"/>
      <c r="HT41" s="212"/>
      <c r="HU41" s="212"/>
      <c r="HV41" s="212"/>
      <c r="HW41" s="212"/>
      <c r="HX41" s="212"/>
      <c r="HY41" s="214"/>
      <c r="HZ41" s="212"/>
      <c r="IA41" s="212"/>
      <c r="IB41" s="212"/>
      <c r="IC41" s="212"/>
      <c r="ID41" s="212"/>
      <c r="IE41" s="215"/>
      <c r="IF41" s="212"/>
      <c r="IG41" s="212"/>
      <c r="IH41" s="212"/>
      <c r="II41" s="212"/>
      <c r="IJ41" s="212"/>
      <c r="IK41" s="216"/>
      <c r="IL41" s="211"/>
      <c r="IM41" s="212"/>
      <c r="IN41" s="212"/>
      <c r="IO41" s="212"/>
      <c r="IP41" s="212"/>
      <c r="IQ41" s="213"/>
      <c r="IR41" s="212"/>
      <c r="IS41" s="212"/>
      <c r="IT41" s="212"/>
      <c r="IU41" s="212"/>
      <c r="IV41" s="212"/>
      <c r="IW41" s="214"/>
      <c r="IX41" s="212"/>
      <c r="IY41" s="212"/>
      <c r="IZ41" s="212"/>
      <c r="JA41" s="212"/>
      <c r="JB41" s="212"/>
      <c r="JC41" s="215"/>
      <c r="JD41" s="212"/>
      <c r="JE41" s="212"/>
      <c r="JF41" s="212"/>
      <c r="JG41" s="212"/>
      <c r="JH41" s="212"/>
      <c r="JI41" s="214"/>
      <c r="JJ41" s="212"/>
      <c r="JK41" s="212"/>
      <c r="JL41" s="212"/>
      <c r="JM41" s="212"/>
      <c r="JN41" s="212"/>
      <c r="JO41" s="215"/>
      <c r="JP41" s="212"/>
      <c r="JQ41" s="212"/>
      <c r="JR41" s="212"/>
      <c r="JS41" s="212"/>
      <c r="JT41" s="212"/>
      <c r="JU41" s="214"/>
      <c r="JV41" s="212"/>
      <c r="JW41" s="212"/>
      <c r="JX41" s="212"/>
      <c r="JY41" s="212"/>
      <c r="JZ41" s="212"/>
      <c r="KA41" s="215"/>
      <c r="KB41" s="212"/>
      <c r="KC41" s="212"/>
      <c r="KD41" s="212"/>
      <c r="KE41" s="212"/>
      <c r="KF41" s="212"/>
      <c r="KG41" s="214"/>
      <c r="KH41" s="212"/>
      <c r="KI41" s="212"/>
      <c r="KJ41" s="212"/>
      <c r="KK41" s="212"/>
      <c r="KL41" s="212"/>
      <c r="KM41" s="215"/>
      <c r="KN41" s="212"/>
      <c r="KO41" s="212"/>
      <c r="KP41" s="212"/>
      <c r="KQ41" s="212"/>
      <c r="KR41" s="212"/>
      <c r="KS41" s="216"/>
      <c r="KT41" s="211"/>
      <c r="KU41" s="212"/>
      <c r="KV41" s="212"/>
      <c r="KW41" s="212"/>
      <c r="KX41" s="212"/>
      <c r="KY41" s="213"/>
      <c r="KZ41" s="212"/>
      <c r="LA41" s="212"/>
      <c r="LB41" s="212"/>
      <c r="LC41" s="212"/>
      <c r="LD41" s="212"/>
      <c r="LE41" s="214"/>
      <c r="LF41" s="212"/>
      <c r="LG41" s="212"/>
      <c r="LH41" s="212"/>
      <c r="LI41" s="212"/>
      <c r="LJ41" s="212"/>
      <c r="LK41" s="215"/>
      <c r="LL41" s="212"/>
      <c r="LM41" s="212"/>
      <c r="LN41" s="212"/>
      <c r="LO41" s="212"/>
      <c r="LP41" s="212"/>
      <c r="LQ41" s="214"/>
      <c r="LR41" s="212"/>
      <c r="LS41" s="212"/>
      <c r="LT41" s="212"/>
      <c r="LU41" s="212"/>
      <c r="LV41" s="212"/>
      <c r="LW41" s="215"/>
      <c r="LX41" s="212"/>
      <c r="LY41" s="212"/>
      <c r="LZ41" s="212"/>
      <c r="MA41" s="212"/>
      <c r="MB41" s="212"/>
      <c r="MC41" s="214"/>
      <c r="MD41" s="212"/>
      <c r="ME41" s="212"/>
      <c r="MF41" s="212"/>
      <c r="MG41" s="212"/>
      <c r="MH41" s="212"/>
      <c r="MI41" s="215"/>
      <c r="MJ41" s="212"/>
      <c r="MK41" s="212"/>
      <c r="ML41" s="212"/>
      <c r="MM41" s="212"/>
      <c r="MN41" s="212"/>
      <c r="MO41" s="214"/>
      <c r="MP41" s="212"/>
      <c r="MQ41" s="212"/>
      <c r="MR41" s="212"/>
      <c r="MS41" s="212"/>
      <c r="MT41" s="212"/>
      <c r="MU41" s="215"/>
      <c r="MV41" s="212"/>
      <c r="MW41" s="212"/>
      <c r="MX41" s="212"/>
      <c r="MY41" s="212"/>
      <c r="MZ41" s="212"/>
      <c r="NA41" s="216"/>
      <c r="NB41" s="211"/>
      <c r="NC41" s="212"/>
      <c r="ND41" s="212"/>
      <c r="NE41" s="212"/>
      <c r="NF41" s="212"/>
      <c r="NG41" s="213"/>
      <c r="NH41" s="212"/>
      <c r="NI41" s="212"/>
      <c r="NJ41" s="212"/>
      <c r="NK41" s="212"/>
      <c r="NL41" s="212"/>
      <c r="NM41" s="214"/>
      <c r="NN41" s="212"/>
      <c r="NO41" s="212"/>
      <c r="NP41" s="212"/>
      <c r="NQ41" s="212"/>
      <c r="NR41" s="212"/>
      <c r="NS41" s="215"/>
      <c r="NT41" s="212"/>
      <c r="NU41" s="212"/>
      <c r="NV41" s="212"/>
      <c r="NW41" s="212"/>
      <c r="NX41" s="212"/>
      <c r="NY41" s="214"/>
      <c r="NZ41" s="212"/>
      <c r="OA41" s="212"/>
      <c r="OB41" s="212"/>
      <c r="OC41" s="212"/>
      <c r="OD41" s="212"/>
      <c r="OE41" s="215"/>
      <c r="OF41" s="212"/>
      <c r="OG41" s="212"/>
      <c r="OH41" s="212"/>
      <c r="OI41" s="212"/>
      <c r="OJ41" s="212"/>
      <c r="OK41" s="214"/>
      <c r="OL41" s="212"/>
      <c r="OM41" s="212"/>
      <c r="ON41" s="212"/>
      <c r="OO41" s="212"/>
      <c r="OP41" s="212"/>
      <c r="OQ41" s="215"/>
      <c r="OR41" s="212"/>
      <c r="OS41" s="212"/>
      <c r="OT41" s="212"/>
      <c r="OU41" s="212"/>
      <c r="OV41" s="212"/>
      <c r="OW41" s="214"/>
      <c r="OX41" s="212"/>
      <c r="OY41" s="212"/>
      <c r="OZ41" s="212"/>
      <c r="PA41" s="212"/>
      <c r="PB41" s="212"/>
      <c r="PC41" s="215"/>
      <c r="PD41" s="212"/>
      <c r="PE41" s="212"/>
      <c r="PF41" s="212"/>
      <c r="PG41" s="212"/>
      <c r="PH41" s="212"/>
      <c r="PI41" s="216"/>
      <c r="PJ41" s="211"/>
      <c r="PK41" s="212"/>
      <c r="PL41" s="212"/>
      <c r="PM41" s="212"/>
      <c r="PN41" s="212"/>
      <c r="PO41" s="213"/>
      <c r="PP41" s="212"/>
      <c r="PQ41" s="212"/>
      <c r="PR41" s="212"/>
      <c r="PS41" s="212"/>
      <c r="PT41" s="212"/>
      <c r="PU41" s="214"/>
      <c r="PV41" s="212"/>
      <c r="PW41" s="212"/>
      <c r="PX41" s="212"/>
      <c r="PY41" s="212"/>
      <c r="PZ41" s="212"/>
      <c r="QA41" s="215"/>
      <c r="QB41" s="212"/>
      <c r="QC41" s="212"/>
      <c r="QD41" s="212"/>
      <c r="QE41" s="212"/>
      <c r="QF41" s="212"/>
      <c r="QG41" s="214"/>
      <c r="QH41" s="212"/>
      <c r="QI41" s="212"/>
      <c r="QJ41" s="212"/>
      <c r="QK41" s="212"/>
      <c r="QL41" s="212"/>
      <c r="QM41" s="215"/>
      <c r="QN41" s="212"/>
      <c r="QO41" s="212"/>
      <c r="QP41" s="212"/>
      <c r="QQ41" s="212"/>
      <c r="QR41" s="212"/>
      <c r="QS41" s="214"/>
      <c r="QT41" s="212"/>
      <c r="QU41" s="212"/>
      <c r="QV41" s="212"/>
      <c r="QW41" s="212"/>
      <c r="QX41" s="212"/>
      <c r="QY41" s="215"/>
      <c r="QZ41" s="212"/>
      <c r="RA41" s="212"/>
      <c r="RB41" s="212"/>
      <c r="RC41" s="212"/>
      <c r="RD41" s="212"/>
      <c r="RE41" s="214"/>
      <c r="RF41" s="212"/>
      <c r="RG41" s="212"/>
      <c r="RH41" s="212"/>
      <c r="RI41" s="212"/>
      <c r="RJ41" s="212"/>
      <c r="RK41" s="215"/>
      <c r="RL41" s="212"/>
      <c r="RM41" s="212"/>
      <c r="RN41" s="212"/>
      <c r="RO41" s="212"/>
      <c r="RP41" s="212"/>
      <c r="RQ41" s="216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05"/>
      <c r="WN41" s="28"/>
      <c r="WO41" s="28"/>
      <c r="WP41" s="28"/>
      <c r="WQ41" s="28"/>
      <c r="WR41" s="28"/>
      <c r="WS41" s="110"/>
      <c r="WT41" s="28"/>
      <c r="WU41" s="28"/>
      <c r="WV41" s="28"/>
      <c r="WW41" s="28"/>
      <c r="WX41" s="28"/>
      <c r="WY41" s="57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73"/>
    </row>
    <row r="42" spans="1:1326" ht="20.100000000000001" customHeight="1" x14ac:dyDescent="0.3">
      <c r="A42" s="78" t="s">
        <v>27</v>
      </c>
      <c r="B42" s="51" t="str">
        <f>IF(LEN(C69)=0,"",C69)</f>
        <v>Frontend - Initialisation structure Angular</v>
      </c>
      <c r="C42" s="164"/>
      <c r="D42" s="121" t="str">
        <f t="shared" si="0"/>
        <v>90h</v>
      </c>
      <c r="E42" s="30">
        <v>1080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73"/>
    </row>
    <row r="43" spans="1:1326" ht="20.100000000000001" customHeight="1" x14ac:dyDescent="0.25">
      <c r="A43" s="78" t="s">
        <v>26</v>
      </c>
      <c r="B43" s="51" t="str">
        <f>IF(LEN(C71)=0,"",C71)</f>
        <v>Frontend - Interfaces admin / Gestion profil</v>
      </c>
      <c r="C43" s="163" t="s">
        <v>63</v>
      </c>
      <c r="D43" s="119" t="str">
        <f t="shared" si="0"/>
        <v>90h</v>
      </c>
      <c r="E43" s="26">
        <v>1080</v>
      </c>
      <c r="F43" s="211"/>
      <c r="G43" s="212"/>
      <c r="H43" s="212"/>
      <c r="I43" s="212"/>
      <c r="J43" s="212"/>
      <c r="K43" s="213"/>
      <c r="L43" s="212"/>
      <c r="M43" s="212"/>
      <c r="N43" s="212"/>
      <c r="O43" s="212"/>
      <c r="P43" s="212"/>
      <c r="Q43" s="214"/>
      <c r="R43" s="212"/>
      <c r="S43" s="212"/>
      <c r="T43" s="212"/>
      <c r="U43" s="212"/>
      <c r="V43" s="212"/>
      <c r="W43" s="215"/>
      <c r="X43" s="212"/>
      <c r="Y43" s="212"/>
      <c r="Z43" s="212"/>
      <c r="AA43" s="212"/>
      <c r="AB43" s="212"/>
      <c r="AC43" s="214"/>
      <c r="AD43" s="212"/>
      <c r="AE43" s="212"/>
      <c r="AF43" s="212"/>
      <c r="AG43" s="212"/>
      <c r="AH43" s="212"/>
      <c r="AI43" s="215"/>
      <c r="AJ43" s="212"/>
      <c r="AK43" s="212"/>
      <c r="AL43" s="212"/>
      <c r="AM43" s="212"/>
      <c r="AN43" s="212"/>
      <c r="AO43" s="214"/>
      <c r="AP43" s="212"/>
      <c r="AQ43" s="212"/>
      <c r="AR43" s="212"/>
      <c r="AS43" s="212"/>
      <c r="AT43" s="212"/>
      <c r="AU43" s="215"/>
      <c r="AV43" s="212"/>
      <c r="AW43" s="212"/>
      <c r="AX43" s="212"/>
      <c r="AY43" s="212"/>
      <c r="AZ43" s="212"/>
      <c r="BA43" s="214"/>
      <c r="BB43" s="212"/>
      <c r="BC43" s="212"/>
      <c r="BD43" s="212"/>
      <c r="BE43" s="212"/>
      <c r="BF43" s="212"/>
      <c r="BG43" s="215"/>
      <c r="BH43" s="212"/>
      <c r="BI43" s="212"/>
      <c r="BJ43" s="212"/>
      <c r="BK43" s="212"/>
      <c r="BL43" s="212"/>
      <c r="BM43" s="216"/>
      <c r="BN43" s="211"/>
      <c r="BO43" s="212"/>
      <c r="BP43" s="212"/>
      <c r="BQ43" s="212"/>
      <c r="BR43" s="212"/>
      <c r="BS43" s="213"/>
      <c r="BT43" s="212"/>
      <c r="BU43" s="212"/>
      <c r="BV43" s="212"/>
      <c r="BW43" s="212"/>
      <c r="BX43" s="212"/>
      <c r="BY43" s="214"/>
      <c r="BZ43" s="212"/>
      <c r="CA43" s="212"/>
      <c r="CB43" s="212"/>
      <c r="CC43" s="212"/>
      <c r="CD43" s="212"/>
      <c r="CE43" s="215"/>
      <c r="CF43" s="212"/>
      <c r="CG43" s="212"/>
      <c r="CH43" s="212"/>
      <c r="CI43" s="212"/>
      <c r="CJ43" s="212"/>
      <c r="CK43" s="214"/>
      <c r="CL43" s="212"/>
      <c r="CM43" s="212"/>
      <c r="CN43" s="212"/>
      <c r="CO43" s="212"/>
      <c r="CP43" s="212"/>
      <c r="CQ43" s="215"/>
      <c r="CR43" s="212"/>
      <c r="CS43" s="212"/>
      <c r="CT43" s="212"/>
      <c r="CU43" s="212"/>
      <c r="CV43" s="212"/>
      <c r="CW43" s="214"/>
      <c r="CX43" s="212"/>
      <c r="CY43" s="212"/>
      <c r="CZ43" s="212"/>
      <c r="DA43" s="212"/>
      <c r="DB43" s="212"/>
      <c r="DC43" s="215"/>
      <c r="DD43" s="212"/>
      <c r="DE43" s="212"/>
      <c r="DF43" s="212"/>
      <c r="DG43" s="212"/>
      <c r="DH43" s="212"/>
      <c r="DI43" s="214"/>
      <c r="DJ43" s="212"/>
      <c r="DK43" s="212"/>
      <c r="DL43" s="212"/>
      <c r="DM43" s="212"/>
      <c r="DN43" s="212"/>
      <c r="DO43" s="215"/>
      <c r="DP43" s="212"/>
      <c r="DQ43" s="212"/>
      <c r="DR43" s="212"/>
      <c r="DS43" s="212"/>
      <c r="DT43" s="212"/>
      <c r="DU43" s="216"/>
      <c r="DV43" s="211"/>
      <c r="DW43" s="212"/>
      <c r="DX43" s="212"/>
      <c r="DY43" s="212"/>
      <c r="DZ43" s="212"/>
      <c r="EA43" s="213"/>
      <c r="EB43" s="212"/>
      <c r="EC43" s="212"/>
      <c r="ED43" s="212"/>
      <c r="EE43" s="212"/>
      <c r="EF43" s="212"/>
      <c r="EG43" s="214"/>
      <c r="EH43" s="212"/>
      <c r="EI43" s="212"/>
      <c r="EJ43" s="212"/>
      <c r="EK43" s="212"/>
      <c r="EL43" s="212"/>
      <c r="EM43" s="215"/>
      <c r="EN43" s="212"/>
      <c r="EO43" s="212"/>
      <c r="EP43" s="212"/>
      <c r="EQ43" s="212"/>
      <c r="ER43" s="212"/>
      <c r="ES43" s="214"/>
      <c r="ET43" s="212"/>
      <c r="EU43" s="212"/>
      <c r="EV43" s="212"/>
      <c r="EW43" s="212"/>
      <c r="EX43" s="212"/>
      <c r="EY43" s="215"/>
      <c r="EZ43" s="212"/>
      <c r="FA43" s="212"/>
      <c r="FB43" s="212"/>
      <c r="FC43" s="212"/>
      <c r="FD43" s="212"/>
      <c r="FE43" s="214"/>
      <c r="FF43" s="212"/>
      <c r="FG43" s="212"/>
      <c r="FH43" s="212"/>
      <c r="FI43" s="212"/>
      <c r="FJ43" s="212"/>
      <c r="FK43" s="215"/>
      <c r="FL43" s="212"/>
      <c r="FM43" s="212"/>
      <c r="FN43" s="212"/>
      <c r="FO43" s="212"/>
      <c r="FP43" s="212"/>
      <c r="FQ43" s="214"/>
      <c r="FR43" s="212"/>
      <c r="FS43" s="212"/>
      <c r="FT43" s="212"/>
      <c r="FU43" s="212"/>
      <c r="FV43" s="212"/>
      <c r="FW43" s="215"/>
      <c r="FX43" s="212"/>
      <c r="FY43" s="212"/>
      <c r="FZ43" s="212"/>
      <c r="GA43" s="212"/>
      <c r="GB43" s="212"/>
      <c r="GC43" s="216"/>
      <c r="GD43" s="211"/>
      <c r="GE43" s="212"/>
      <c r="GF43" s="212"/>
      <c r="GG43" s="212"/>
      <c r="GH43" s="212"/>
      <c r="GI43" s="213"/>
      <c r="GJ43" s="212"/>
      <c r="GK43" s="212"/>
      <c r="GL43" s="212"/>
      <c r="GM43" s="212"/>
      <c r="GN43" s="212"/>
      <c r="GO43" s="214"/>
      <c r="GP43" s="212"/>
      <c r="GQ43" s="212"/>
      <c r="GR43" s="212"/>
      <c r="GS43" s="212"/>
      <c r="GT43" s="212"/>
      <c r="GU43" s="215"/>
      <c r="GV43" s="212"/>
      <c r="GW43" s="212"/>
      <c r="GX43" s="212"/>
      <c r="GY43" s="212"/>
      <c r="GZ43" s="212"/>
      <c r="HA43" s="214"/>
      <c r="HB43" s="212"/>
      <c r="HC43" s="212"/>
      <c r="HD43" s="212"/>
      <c r="HE43" s="212"/>
      <c r="HF43" s="212"/>
      <c r="HG43" s="215"/>
      <c r="HH43" s="212"/>
      <c r="HI43" s="212"/>
      <c r="HJ43" s="212"/>
      <c r="HK43" s="212"/>
      <c r="HL43" s="212"/>
      <c r="HM43" s="214"/>
      <c r="HN43" s="212"/>
      <c r="HO43" s="212"/>
      <c r="HP43" s="212"/>
      <c r="HQ43" s="212"/>
      <c r="HR43" s="212"/>
      <c r="HS43" s="215"/>
      <c r="HT43" s="212"/>
      <c r="HU43" s="212"/>
      <c r="HV43" s="212"/>
      <c r="HW43" s="212"/>
      <c r="HX43" s="212"/>
      <c r="HY43" s="214"/>
      <c r="HZ43" s="212"/>
      <c r="IA43" s="212"/>
      <c r="IB43" s="212"/>
      <c r="IC43" s="212"/>
      <c r="ID43" s="212"/>
      <c r="IE43" s="215"/>
      <c r="IF43" s="212"/>
      <c r="IG43" s="212"/>
      <c r="IH43" s="212"/>
      <c r="II43" s="212"/>
      <c r="IJ43" s="212"/>
      <c r="IK43" s="216"/>
      <c r="IL43" s="211"/>
      <c r="IM43" s="212"/>
      <c r="IN43" s="212"/>
      <c r="IO43" s="212"/>
      <c r="IP43" s="212"/>
      <c r="IQ43" s="213"/>
      <c r="IR43" s="212"/>
      <c r="IS43" s="212"/>
      <c r="IT43" s="212"/>
      <c r="IU43" s="212"/>
      <c r="IV43" s="212"/>
      <c r="IW43" s="214"/>
      <c r="IX43" s="212"/>
      <c r="IY43" s="212"/>
      <c r="IZ43" s="212"/>
      <c r="JA43" s="212"/>
      <c r="JB43" s="212"/>
      <c r="JC43" s="215"/>
      <c r="JD43" s="212"/>
      <c r="JE43" s="212"/>
      <c r="JF43" s="212"/>
      <c r="JG43" s="212"/>
      <c r="JH43" s="212"/>
      <c r="JI43" s="214"/>
      <c r="JJ43" s="212"/>
      <c r="JK43" s="212"/>
      <c r="JL43" s="212"/>
      <c r="JM43" s="212"/>
      <c r="JN43" s="212"/>
      <c r="JO43" s="215"/>
      <c r="JP43" s="212"/>
      <c r="JQ43" s="212"/>
      <c r="JR43" s="212"/>
      <c r="JS43" s="212"/>
      <c r="JT43" s="212"/>
      <c r="JU43" s="214"/>
      <c r="JV43" s="212"/>
      <c r="JW43" s="212"/>
      <c r="JX43" s="212"/>
      <c r="JY43" s="212"/>
      <c r="JZ43" s="212"/>
      <c r="KA43" s="215"/>
      <c r="KB43" s="212"/>
      <c r="KC43" s="212"/>
      <c r="KD43" s="212"/>
      <c r="KE43" s="212"/>
      <c r="KF43" s="212"/>
      <c r="KG43" s="214"/>
      <c r="KH43" s="212"/>
      <c r="KI43" s="212"/>
      <c r="KJ43" s="212"/>
      <c r="KK43" s="212"/>
      <c r="KL43" s="212"/>
      <c r="KM43" s="215"/>
      <c r="KN43" s="212"/>
      <c r="KO43" s="212"/>
      <c r="KP43" s="212"/>
      <c r="KQ43" s="212"/>
      <c r="KR43" s="212"/>
      <c r="KS43" s="216"/>
      <c r="KT43" s="211"/>
      <c r="KU43" s="212"/>
      <c r="KV43" s="212"/>
      <c r="KW43" s="212"/>
      <c r="KX43" s="212"/>
      <c r="KY43" s="213"/>
      <c r="KZ43" s="212"/>
      <c r="LA43" s="212"/>
      <c r="LB43" s="212"/>
      <c r="LC43" s="212"/>
      <c r="LD43" s="212"/>
      <c r="LE43" s="214"/>
      <c r="LF43" s="212"/>
      <c r="LG43" s="212"/>
      <c r="LH43" s="212"/>
      <c r="LI43" s="212"/>
      <c r="LJ43" s="212"/>
      <c r="LK43" s="215"/>
      <c r="LL43" s="212"/>
      <c r="LM43" s="212"/>
      <c r="LN43" s="212"/>
      <c r="LO43" s="212"/>
      <c r="LP43" s="212"/>
      <c r="LQ43" s="214"/>
      <c r="LR43" s="212"/>
      <c r="LS43" s="212"/>
      <c r="LT43" s="212"/>
      <c r="LU43" s="212"/>
      <c r="LV43" s="212"/>
      <c r="LW43" s="215"/>
      <c r="LX43" s="212"/>
      <c r="LY43" s="212"/>
      <c r="LZ43" s="212"/>
      <c r="MA43" s="212"/>
      <c r="MB43" s="212"/>
      <c r="MC43" s="214"/>
      <c r="MD43" s="212"/>
      <c r="ME43" s="212"/>
      <c r="MF43" s="212"/>
      <c r="MG43" s="212"/>
      <c r="MH43" s="212"/>
      <c r="MI43" s="215"/>
      <c r="MJ43" s="212"/>
      <c r="MK43" s="212"/>
      <c r="ML43" s="212"/>
      <c r="MM43" s="212"/>
      <c r="MN43" s="212"/>
      <c r="MO43" s="214"/>
      <c r="MP43" s="212"/>
      <c r="MQ43" s="212"/>
      <c r="MR43" s="212"/>
      <c r="MS43" s="212"/>
      <c r="MT43" s="212"/>
      <c r="MU43" s="215"/>
      <c r="MV43" s="212"/>
      <c r="MW43" s="212"/>
      <c r="MX43" s="212"/>
      <c r="MY43" s="212"/>
      <c r="MZ43" s="212"/>
      <c r="NA43" s="216"/>
      <c r="NB43" s="211"/>
      <c r="NC43" s="212"/>
      <c r="ND43" s="212"/>
      <c r="NE43" s="212"/>
      <c r="NF43" s="212"/>
      <c r="NG43" s="213"/>
      <c r="NH43" s="212"/>
      <c r="NI43" s="212"/>
      <c r="NJ43" s="212"/>
      <c r="NK43" s="212"/>
      <c r="NL43" s="212"/>
      <c r="NM43" s="214"/>
      <c r="NN43" s="212"/>
      <c r="NO43" s="212"/>
      <c r="NP43" s="212"/>
      <c r="NQ43" s="212"/>
      <c r="NR43" s="212"/>
      <c r="NS43" s="215"/>
      <c r="NT43" s="212"/>
      <c r="NU43" s="212"/>
      <c r="NV43" s="212"/>
      <c r="NW43" s="212"/>
      <c r="NX43" s="212"/>
      <c r="NY43" s="214"/>
      <c r="NZ43" s="212"/>
      <c r="OA43" s="212"/>
      <c r="OB43" s="212"/>
      <c r="OC43" s="212"/>
      <c r="OD43" s="212"/>
      <c r="OE43" s="215"/>
      <c r="OF43" s="212"/>
      <c r="OG43" s="212"/>
      <c r="OH43" s="212"/>
      <c r="OI43" s="212"/>
      <c r="OJ43" s="212"/>
      <c r="OK43" s="214"/>
      <c r="OL43" s="212"/>
      <c r="OM43" s="212"/>
      <c r="ON43" s="212"/>
      <c r="OO43" s="212"/>
      <c r="OP43" s="212"/>
      <c r="OQ43" s="215"/>
      <c r="OR43" s="212"/>
      <c r="OS43" s="212"/>
      <c r="OT43" s="212"/>
      <c r="OU43" s="212"/>
      <c r="OV43" s="212"/>
      <c r="OW43" s="214"/>
      <c r="OX43" s="212"/>
      <c r="OY43" s="212"/>
      <c r="OZ43" s="212"/>
      <c r="PA43" s="212"/>
      <c r="PB43" s="212"/>
      <c r="PC43" s="215"/>
      <c r="PD43" s="212"/>
      <c r="PE43" s="212"/>
      <c r="PF43" s="212"/>
      <c r="PG43" s="212"/>
      <c r="PH43" s="212"/>
      <c r="PI43" s="216"/>
      <c r="PJ43" s="211"/>
      <c r="PK43" s="212"/>
      <c r="PL43" s="212"/>
      <c r="PM43" s="212"/>
      <c r="PN43" s="212"/>
      <c r="PO43" s="213"/>
      <c r="PP43" s="212"/>
      <c r="PQ43" s="212"/>
      <c r="PR43" s="212"/>
      <c r="PS43" s="212"/>
      <c r="PT43" s="212"/>
      <c r="PU43" s="214"/>
      <c r="PV43" s="212"/>
      <c r="PW43" s="212"/>
      <c r="PX43" s="212"/>
      <c r="PY43" s="212"/>
      <c r="PZ43" s="212"/>
      <c r="QA43" s="215"/>
      <c r="QB43" s="212"/>
      <c r="QC43" s="212"/>
      <c r="QD43" s="212"/>
      <c r="QE43" s="212"/>
      <c r="QF43" s="212"/>
      <c r="QG43" s="214"/>
      <c r="QH43" s="212"/>
      <c r="QI43" s="212"/>
      <c r="QJ43" s="212"/>
      <c r="QK43" s="212"/>
      <c r="QL43" s="212"/>
      <c r="QM43" s="215"/>
      <c r="QN43" s="212"/>
      <c r="QO43" s="212"/>
      <c r="QP43" s="212"/>
      <c r="QQ43" s="212"/>
      <c r="QR43" s="212"/>
      <c r="QS43" s="214"/>
      <c r="QT43" s="212"/>
      <c r="QU43" s="212"/>
      <c r="QV43" s="212"/>
      <c r="QW43" s="212"/>
      <c r="QX43" s="212"/>
      <c r="QY43" s="215"/>
      <c r="QZ43" s="212"/>
      <c r="RA43" s="212"/>
      <c r="RB43" s="212"/>
      <c r="RC43" s="212"/>
      <c r="RD43" s="212"/>
      <c r="RE43" s="214"/>
      <c r="RF43" s="212"/>
      <c r="RG43" s="212"/>
      <c r="RH43" s="212"/>
      <c r="RI43" s="212"/>
      <c r="RJ43" s="212"/>
      <c r="RK43" s="215"/>
      <c r="RL43" s="212"/>
      <c r="RM43" s="212"/>
      <c r="RN43" s="212"/>
      <c r="RO43" s="212"/>
      <c r="RP43" s="212"/>
      <c r="RQ43" s="216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73"/>
    </row>
    <row r="44" spans="1:1326" ht="20.100000000000001" customHeight="1" x14ac:dyDescent="0.3">
      <c r="A44" s="78" t="s">
        <v>27</v>
      </c>
      <c r="B44" s="51" t="str">
        <f>IF(LEN(C73)=0,"",C73)</f>
        <v>Frontend - interfaces CRUD (films, citations etc)</v>
      </c>
      <c r="C44" s="169"/>
      <c r="D44" s="121" t="str">
        <f t="shared" si="0"/>
        <v>90h</v>
      </c>
      <c r="E44" s="30">
        <v>1080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73"/>
    </row>
    <row r="45" spans="1:1326" ht="20.100000000000001" customHeight="1" x14ac:dyDescent="0.25">
      <c r="A45" s="78" t="s">
        <v>26</v>
      </c>
      <c r="B45" s="51" t="str">
        <f>IF(LEN(C75)=0,"",C75)</f>
        <v>Frontend - Login/Signup</v>
      </c>
      <c r="C45" s="163" t="s">
        <v>78</v>
      </c>
      <c r="D45" s="119" t="str">
        <f t="shared" si="0"/>
        <v>90h</v>
      </c>
      <c r="E45" s="34">
        <v>1080</v>
      </c>
      <c r="F45" s="217"/>
      <c r="G45" s="218"/>
      <c r="H45" s="218"/>
      <c r="I45" s="218"/>
      <c r="J45" s="218"/>
      <c r="K45" s="219"/>
      <c r="L45" s="218"/>
      <c r="M45" s="218"/>
      <c r="N45" s="218"/>
      <c r="O45" s="218"/>
      <c r="P45" s="218"/>
      <c r="Q45" s="220"/>
      <c r="R45" s="218"/>
      <c r="S45" s="218"/>
      <c r="T45" s="218"/>
      <c r="U45" s="218"/>
      <c r="V45" s="218"/>
      <c r="W45" s="221"/>
      <c r="X45" s="218"/>
      <c r="Y45" s="218"/>
      <c r="Z45" s="218"/>
      <c r="AA45" s="218"/>
      <c r="AB45" s="218"/>
      <c r="AC45" s="220"/>
      <c r="AD45" s="218"/>
      <c r="AE45" s="218"/>
      <c r="AF45" s="218"/>
      <c r="AG45" s="218"/>
      <c r="AH45" s="218"/>
      <c r="AI45" s="221"/>
      <c r="AJ45" s="218"/>
      <c r="AK45" s="218"/>
      <c r="AL45" s="218"/>
      <c r="AM45" s="218"/>
      <c r="AN45" s="218"/>
      <c r="AO45" s="220"/>
      <c r="AP45" s="218"/>
      <c r="AQ45" s="218"/>
      <c r="AR45" s="218"/>
      <c r="AS45" s="218"/>
      <c r="AT45" s="218"/>
      <c r="AU45" s="221"/>
      <c r="AV45" s="218"/>
      <c r="AW45" s="218"/>
      <c r="AX45" s="218"/>
      <c r="AY45" s="218"/>
      <c r="AZ45" s="218"/>
      <c r="BA45" s="220"/>
      <c r="BB45" s="218"/>
      <c r="BC45" s="218"/>
      <c r="BD45" s="218"/>
      <c r="BE45" s="218"/>
      <c r="BF45" s="218"/>
      <c r="BG45" s="221"/>
      <c r="BH45" s="218"/>
      <c r="BI45" s="218"/>
      <c r="BJ45" s="218"/>
      <c r="BK45" s="218"/>
      <c r="BL45" s="218"/>
      <c r="BM45" s="222"/>
      <c r="BN45" s="217"/>
      <c r="BO45" s="218"/>
      <c r="BP45" s="218"/>
      <c r="BQ45" s="218"/>
      <c r="BR45" s="218"/>
      <c r="BS45" s="219"/>
      <c r="BT45" s="218"/>
      <c r="BU45" s="218"/>
      <c r="BV45" s="218"/>
      <c r="BW45" s="218"/>
      <c r="BX45" s="218"/>
      <c r="BY45" s="220"/>
      <c r="BZ45" s="218"/>
      <c r="CA45" s="218"/>
      <c r="CB45" s="218"/>
      <c r="CC45" s="218"/>
      <c r="CD45" s="218"/>
      <c r="CE45" s="221"/>
      <c r="CF45" s="218"/>
      <c r="CG45" s="218"/>
      <c r="CH45" s="218"/>
      <c r="CI45" s="218"/>
      <c r="CJ45" s="218"/>
      <c r="CK45" s="220"/>
      <c r="CL45" s="218"/>
      <c r="CM45" s="218"/>
      <c r="CN45" s="218"/>
      <c r="CO45" s="218"/>
      <c r="CP45" s="218"/>
      <c r="CQ45" s="221"/>
      <c r="CR45" s="218"/>
      <c r="CS45" s="218"/>
      <c r="CT45" s="218"/>
      <c r="CU45" s="218"/>
      <c r="CV45" s="218"/>
      <c r="CW45" s="220"/>
      <c r="CX45" s="218"/>
      <c r="CY45" s="218"/>
      <c r="CZ45" s="218"/>
      <c r="DA45" s="218"/>
      <c r="DB45" s="218"/>
      <c r="DC45" s="221"/>
      <c r="DD45" s="218"/>
      <c r="DE45" s="218"/>
      <c r="DF45" s="218"/>
      <c r="DG45" s="218"/>
      <c r="DH45" s="218"/>
      <c r="DI45" s="220"/>
      <c r="DJ45" s="218"/>
      <c r="DK45" s="218"/>
      <c r="DL45" s="218"/>
      <c r="DM45" s="218"/>
      <c r="DN45" s="218"/>
      <c r="DO45" s="221"/>
      <c r="DP45" s="218"/>
      <c r="DQ45" s="218"/>
      <c r="DR45" s="218"/>
      <c r="DS45" s="218"/>
      <c r="DT45" s="218"/>
      <c r="DU45" s="222"/>
      <c r="DV45" s="217"/>
      <c r="DW45" s="218"/>
      <c r="DX45" s="218"/>
      <c r="DY45" s="218"/>
      <c r="DZ45" s="218"/>
      <c r="EA45" s="219"/>
      <c r="EB45" s="218"/>
      <c r="EC45" s="218"/>
      <c r="ED45" s="218"/>
      <c r="EE45" s="218"/>
      <c r="EF45" s="218"/>
      <c r="EG45" s="220"/>
      <c r="EH45" s="218"/>
      <c r="EI45" s="218"/>
      <c r="EJ45" s="218"/>
      <c r="EK45" s="218"/>
      <c r="EL45" s="218"/>
      <c r="EM45" s="221"/>
      <c r="EN45" s="218"/>
      <c r="EO45" s="218"/>
      <c r="EP45" s="218"/>
      <c r="EQ45" s="218"/>
      <c r="ER45" s="218"/>
      <c r="ES45" s="220"/>
      <c r="ET45" s="218"/>
      <c r="EU45" s="218"/>
      <c r="EV45" s="218"/>
      <c r="EW45" s="218"/>
      <c r="EX45" s="218"/>
      <c r="EY45" s="221"/>
      <c r="EZ45" s="218"/>
      <c r="FA45" s="218"/>
      <c r="FB45" s="218"/>
      <c r="FC45" s="218"/>
      <c r="FD45" s="218"/>
      <c r="FE45" s="220"/>
      <c r="FF45" s="218"/>
      <c r="FG45" s="218"/>
      <c r="FH45" s="218"/>
      <c r="FI45" s="218"/>
      <c r="FJ45" s="218"/>
      <c r="FK45" s="221"/>
      <c r="FL45" s="218"/>
      <c r="FM45" s="218"/>
      <c r="FN45" s="218"/>
      <c r="FO45" s="218"/>
      <c r="FP45" s="218"/>
      <c r="FQ45" s="220"/>
      <c r="FR45" s="218"/>
      <c r="FS45" s="218"/>
      <c r="FT45" s="218"/>
      <c r="FU45" s="218"/>
      <c r="FV45" s="218"/>
      <c r="FW45" s="221"/>
      <c r="FX45" s="218"/>
      <c r="FY45" s="218"/>
      <c r="FZ45" s="218"/>
      <c r="GA45" s="218"/>
      <c r="GB45" s="218"/>
      <c r="GC45" s="222"/>
      <c r="GD45" s="217"/>
      <c r="GE45" s="218"/>
      <c r="GF45" s="218"/>
      <c r="GG45" s="218"/>
      <c r="GH45" s="218"/>
      <c r="GI45" s="219"/>
      <c r="GJ45" s="218"/>
      <c r="GK45" s="218"/>
      <c r="GL45" s="218"/>
      <c r="GM45" s="218"/>
      <c r="GN45" s="218"/>
      <c r="GO45" s="220"/>
      <c r="GP45" s="218"/>
      <c r="GQ45" s="218"/>
      <c r="GR45" s="218"/>
      <c r="GS45" s="218"/>
      <c r="GT45" s="218"/>
      <c r="GU45" s="221"/>
      <c r="GV45" s="218"/>
      <c r="GW45" s="218"/>
      <c r="GX45" s="218"/>
      <c r="GY45" s="218"/>
      <c r="GZ45" s="218"/>
      <c r="HA45" s="220"/>
      <c r="HB45" s="218"/>
      <c r="HC45" s="218"/>
      <c r="HD45" s="218"/>
      <c r="HE45" s="218"/>
      <c r="HF45" s="218"/>
      <c r="HG45" s="221"/>
      <c r="HH45" s="218"/>
      <c r="HI45" s="218"/>
      <c r="HJ45" s="218"/>
      <c r="HK45" s="218"/>
      <c r="HL45" s="218"/>
      <c r="HM45" s="220"/>
      <c r="HN45" s="218"/>
      <c r="HO45" s="218"/>
      <c r="HP45" s="218"/>
      <c r="HQ45" s="218"/>
      <c r="HR45" s="218"/>
      <c r="HS45" s="221"/>
      <c r="HT45" s="218"/>
      <c r="HU45" s="218"/>
      <c r="HV45" s="218"/>
      <c r="HW45" s="218"/>
      <c r="HX45" s="218"/>
      <c r="HY45" s="220"/>
      <c r="HZ45" s="218"/>
      <c r="IA45" s="218"/>
      <c r="IB45" s="218"/>
      <c r="IC45" s="218"/>
      <c r="ID45" s="218"/>
      <c r="IE45" s="221"/>
      <c r="IF45" s="218"/>
      <c r="IG45" s="218"/>
      <c r="IH45" s="218"/>
      <c r="II45" s="218"/>
      <c r="IJ45" s="218"/>
      <c r="IK45" s="222"/>
      <c r="IL45" s="217"/>
      <c r="IM45" s="218"/>
      <c r="IN45" s="218"/>
      <c r="IO45" s="218"/>
      <c r="IP45" s="218"/>
      <c r="IQ45" s="219"/>
      <c r="IR45" s="218"/>
      <c r="IS45" s="218"/>
      <c r="IT45" s="218"/>
      <c r="IU45" s="218"/>
      <c r="IV45" s="218"/>
      <c r="IW45" s="220"/>
      <c r="IX45" s="218"/>
      <c r="IY45" s="218"/>
      <c r="IZ45" s="218"/>
      <c r="JA45" s="218"/>
      <c r="JB45" s="218"/>
      <c r="JC45" s="221"/>
      <c r="JD45" s="218"/>
      <c r="JE45" s="218"/>
      <c r="JF45" s="218"/>
      <c r="JG45" s="218"/>
      <c r="JH45" s="218"/>
      <c r="JI45" s="220"/>
      <c r="JJ45" s="218"/>
      <c r="JK45" s="218"/>
      <c r="JL45" s="218"/>
      <c r="JM45" s="218"/>
      <c r="JN45" s="218"/>
      <c r="JO45" s="221"/>
      <c r="JP45" s="218"/>
      <c r="JQ45" s="218"/>
      <c r="JR45" s="218"/>
      <c r="JS45" s="218"/>
      <c r="JT45" s="218"/>
      <c r="JU45" s="220"/>
      <c r="JV45" s="218"/>
      <c r="JW45" s="218"/>
      <c r="JX45" s="218"/>
      <c r="JY45" s="218"/>
      <c r="JZ45" s="218"/>
      <c r="KA45" s="221"/>
      <c r="KB45" s="218"/>
      <c r="KC45" s="218"/>
      <c r="KD45" s="218"/>
      <c r="KE45" s="218"/>
      <c r="KF45" s="218"/>
      <c r="KG45" s="220"/>
      <c r="KH45" s="218"/>
      <c r="KI45" s="218"/>
      <c r="KJ45" s="218"/>
      <c r="KK45" s="218"/>
      <c r="KL45" s="218"/>
      <c r="KM45" s="221"/>
      <c r="KN45" s="218"/>
      <c r="KO45" s="218"/>
      <c r="KP45" s="218"/>
      <c r="KQ45" s="218"/>
      <c r="KR45" s="218"/>
      <c r="KS45" s="222"/>
      <c r="KT45" s="217"/>
      <c r="KU45" s="218"/>
      <c r="KV45" s="218"/>
      <c r="KW45" s="218"/>
      <c r="KX45" s="218"/>
      <c r="KY45" s="219"/>
      <c r="KZ45" s="218"/>
      <c r="LA45" s="218"/>
      <c r="LB45" s="218"/>
      <c r="LC45" s="218"/>
      <c r="LD45" s="218"/>
      <c r="LE45" s="220"/>
      <c r="LF45" s="218"/>
      <c r="LG45" s="218"/>
      <c r="LH45" s="218"/>
      <c r="LI45" s="218"/>
      <c r="LJ45" s="218"/>
      <c r="LK45" s="221"/>
      <c r="LL45" s="218"/>
      <c r="LM45" s="218"/>
      <c r="LN45" s="218"/>
      <c r="LO45" s="218"/>
      <c r="LP45" s="218"/>
      <c r="LQ45" s="220"/>
      <c r="LR45" s="218"/>
      <c r="LS45" s="218"/>
      <c r="LT45" s="218"/>
      <c r="LU45" s="218"/>
      <c r="LV45" s="218"/>
      <c r="LW45" s="221"/>
      <c r="LX45" s="218"/>
      <c r="LY45" s="218"/>
      <c r="LZ45" s="218"/>
      <c r="MA45" s="218"/>
      <c r="MB45" s="218"/>
      <c r="MC45" s="220"/>
      <c r="MD45" s="218"/>
      <c r="ME45" s="218"/>
      <c r="MF45" s="218"/>
      <c r="MG45" s="218"/>
      <c r="MH45" s="218"/>
      <c r="MI45" s="221"/>
      <c r="MJ45" s="218"/>
      <c r="MK45" s="218"/>
      <c r="ML45" s="218"/>
      <c r="MM45" s="218"/>
      <c r="MN45" s="218"/>
      <c r="MO45" s="220"/>
      <c r="MP45" s="218"/>
      <c r="MQ45" s="218"/>
      <c r="MR45" s="218"/>
      <c r="MS45" s="218"/>
      <c r="MT45" s="218"/>
      <c r="MU45" s="221"/>
      <c r="MV45" s="218"/>
      <c r="MW45" s="218"/>
      <c r="MX45" s="218"/>
      <c r="MY45" s="218"/>
      <c r="MZ45" s="218"/>
      <c r="NA45" s="222"/>
      <c r="NB45" s="217"/>
      <c r="NC45" s="218"/>
      <c r="ND45" s="218"/>
      <c r="NE45" s="218"/>
      <c r="NF45" s="218"/>
      <c r="NG45" s="219"/>
      <c r="NH45" s="218"/>
      <c r="NI45" s="218"/>
      <c r="NJ45" s="218"/>
      <c r="NK45" s="218"/>
      <c r="NL45" s="218"/>
      <c r="NM45" s="220"/>
      <c r="NN45" s="218"/>
      <c r="NO45" s="218"/>
      <c r="NP45" s="218"/>
      <c r="NQ45" s="218"/>
      <c r="NR45" s="218"/>
      <c r="NS45" s="221"/>
      <c r="NT45" s="218"/>
      <c r="NU45" s="218"/>
      <c r="NV45" s="218"/>
      <c r="NW45" s="218"/>
      <c r="NX45" s="218"/>
      <c r="NY45" s="220"/>
      <c r="NZ45" s="218"/>
      <c r="OA45" s="218"/>
      <c r="OB45" s="218"/>
      <c r="OC45" s="218"/>
      <c r="OD45" s="218"/>
      <c r="OE45" s="221"/>
      <c r="OF45" s="218"/>
      <c r="OG45" s="218"/>
      <c r="OH45" s="218"/>
      <c r="OI45" s="218"/>
      <c r="OJ45" s="218"/>
      <c r="OK45" s="220"/>
      <c r="OL45" s="218"/>
      <c r="OM45" s="218"/>
      <c r="ON45" s="218"/>
      <c r="OO45" s="218"/>
      <c r="OP45" s="218"/>
      <c r="OQ45" s="221"/>
      <c r="OR45" s="218"/>
      <c r="OS45" s="218"/>
      <c r="OT45" s="218"/>
      <c r="OU45" s="218"/>
      <c r="OV45" s="218"/>
      <c r="OW45" s="220"/>
      <c r="OX45" s="218"/>
      <c r="OY45" s="218"/>
      <c r="OZ45" s="218"/>
      <c r="PA45" s="218"/>
      <c r="PB45" s="218"/>
      <c r="PC45" s="221"/>
      <c r="PD45" s="218"/>
      <c r="PE45" s="218"/>
      <c r="PF45" s="218"/>
      <c r="PG45" s="218"/>
      <c r="PH45" s="218"/>
      <c r="PI45" s="222"/>
      <c r="PJ45" s="217"/>
      <c r="PK45" s="218"/>
      <c r="PL45" s="218"/>
      <c r="PM45" s="218"/>
      <c r="PN45" s="218"/>
      <c r="PO45" s="219"/>
      <c r="PP45" s="218"/>
      <c r="PQ45" s="218"/>
      <c r="PR45" s="218"/>
      <c r="PS45" s="218"/>
      <c r="PT45" s="218"/>
      <c r="PU45" s="220"/>
      <c r="PV45" s="218"/>
      <c r="PW45" s="218"/>
      <c r="PX45" s="218"/>
      <c r="PY45" s="218"/>
      <c r="PZ45" s="218"/>
      <c r="QA45" s="221"/>
      <c r="QB45" s="218"/>
      <c r="QC45" s="218"/>
      <c r="QD45" s="218"/>
      <c r="QE45" s="218"/>
      <c r="QF45" s="218"/>
      <c r="QG45" s="220"/>
      <c r="QH45" s="218"/>
      <c r="QI45" s="218"/>
      <c r="QJ45" s="218"/>
      <c r="QK45" s="218"/>
      <c r="QL45" s="218"/>
      <c r="QM45" s="221"/>
      <c r="QN45" s="218"/>
      <c r="QO45" s="218"/>
      <c r="QP45" s="218"/>
      <c r="QQ45" s="218"/>
      <c r="QR45" s="218"/>
      <c r="QS45" s="220"/>
      <c r="QT45" s="218"/>
      <c r="QU45" s="218"/>
      <c r="QV45" s="218"/>
      <c r="QW45" s="218"/>
      <c r="QX45" s="218"/>
      <c r="QY45" s="221"/>
      <c r="QZ45" s="218"/>
      <c r="RA45" s="218"/>
      <c r="RB45" s="218"/>
      <c r="RC45" s="218"/>
      <c r="RD45" s="218"/>
      <c r="RE45" s="220"/>
      <c r="RF45" s="218"/>
      <c r="RG45" s="218"/>
      <c r="RH45" s="218"/>
      <c r="RI45" s="218"/>
      <c r="RJ45" s="218"/>
      <c r="RK45" s="221"/>
      <c r="RL45" s="218"/>
      <c r="RM45" s="218"/>
      <c r="RN45" s="218"/>
      <c r="RO45" s="218"/>
      <c r="RP45" s="218"/>
      <c r="RQ45" s="222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07"/>
      <c r="ABD45" s="36"/>
      <c r="ABE45" s="36"/>
      <c r="ABF45" s="36"/>
      <c r="ABG45" s="36"/>
      <c r="ABH45" s="36"/>
      <c r="ABI45" s="112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73"/>
    </row>
    <row r="46" spans="1:1326" ht="20.100000000000001" customHeight="1" x14ac:dyDescent="0.25">
      <c r="A46" s="78" t="s">
        <v>27</v>
      </c>
      <c r="B46" s="51" t="str">
        <f>IF(LEN(C77)=0,"",C77)</f>
        <v>Frontend - Page d'accueil</v>
      </c>
      <c r="C46" s="164"/>
      <c r="D46" s="120" t="str">
        <f t="shared" si="0"/>
        <v>90h</v>
      </c>
      <c r="E46" s="30">
        <v>1080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73"/>
    </row>
    <row r="47" spans="1:1326" ht="20.100000000000001" customHeight="1" x14ac:dyDescent="0.25">
      <c r="A47" s="78" t="s">
        <v>26</v>
      </c>
      <c r="B47" s="51" t="str">
        <f>IF(LEN(C79)=0,"",C79)</f>
        <v>Initialisation repo Github</v>
      </c>
      <c r="C47" s="163" t="s">
        <v>79</v>
      </c>
      <c r="D47" s="119" t="str">
        <f t="shared" si="0"/>
        <v>90h</v>
      </c>
      <c r="E47" s="34">
        <v>1080</v>
      </c>
      <c r="F47" s="217"/>
      <c r="G47" s="218"/>
      <c r="H47" s="218"/>
      <c r="I47" s="218"/>
      <c r="J47" s="218"/>
      <c r="K47" s="219"/>
      <c r="L47" s="218"/>
      <c r="M47" s="218"/>
      <c r="N47" s="218"/>
      <c r="O47" s="218"/>
      <c r="P47" s="218"/>
      <c r="Q47" s="220"/>
      <c r="R47" s="218"/>
      <c r="S47" s="218"/>
      <c r="T47" s="218"/>
      <c r="U47" s="218"/>
      <c r="V47" s="218"/>
      <c r="W47" s="221"/>
      <c r="X47" s="218"/>
      <c r="Y47" s="218"/>
      <c r="Z47" s="218"/>
      <c r="AA47" s="218"/>
      <c r="AB47" s="218"/>
      <c r="AC47" s="220"/>
      <c r="AD47" s="218"/>
      <c r="AE47" s="218"/>
      <c r="AF47" s="218"/>
      <c r="AG47" s="218"/>
      <c r="AH47" s="218"/>
      <c r="AI47" s="221"/>
      <c r="AJ47" s="218"/>
      <c r="AK47" s="218"/>
      <c r="AL47" s="218"/>
      <c r="AM47" s="218"/>
      <c r="AN47" s="218"/>
      <c r="AO47" s="220"/>
      <c r="AP47" s="218"/>
      <c r="AQ47" s="218"/>
      <c r="AR47" s="218"/>
      <c r="AS47" s="218"/>
      <c r="AT47" s="218"/>
      <c r="AU47" s="221"/>
      <c r="AV47" s="218"/>
      <c r="AW47" s="218"/>
      <c r="AX47" s="218"/>
      <c r="AY47" s="218"/>
      <c r="AZ47" s="218"/>
      <c r="BA47" s="220"/>
      <c r="BB47" s="218"/>
      <c r="BC47" s="218"/>
      <c r="BD47" s="218"/>
      <c r="BE47" s="218"/>
      <c r="BF47" s="218"/>
      <c r="BG47" s="221"/>
      <c r="BH47" s="218"/>
      <c r="BI47" s="218"/>
      <c r="BJ47" s="218"/>
      <c r="BK47" s="218"/>
      <c r="BL47" s="218"/>
      <c r="BM47" s="222"/>
      <c r="BN47" s="217"/>
      <c r="BO47" s="218"/>
      <c r="BP47" s="218"/>
      <c r="BQ47" s="218"/>
      <c r="BR47" s="218"/>
      <c r="BS47" s="219"/>
      <c r="BT47" s="218"/>
      <c r="BU47" s="218"/>
      <c r="BV47" s="218"/>
      <c r="BW47" s="218"/>
      <c r="BX47" s="218"/>
      <c r="BY47" s="220"/>
      <c r="BZ47" s="218"/>
      <c r="CA47" s="218"/>
      <c r="CB47" s="218"/>
      <c r="CC47" s="218"/>
      <c r="CD47" s="218"/>
      <c r="CE47" s="221"/>
      <c r="CF47" s="218"/>
      <c r="CG47" s="218"/>
      <c r="CH47" s="218"/>
      <c r="CI47" s="218"/>
      <c r="CJ47" s="218"/>
      <c r="CK47" s="220"/>
      <c r="CL47" s="218"/>
      <c r="CM47" s="218"/>
      <c r="CN47" s="218"/>
      <c r="CO47" s="218"/>
      <c r="CP47" s="218"/>
      <c r="CQ47" s="221"/>
      <c r="CR47" s="218"/>
      <c r="CS47" s="218"/>
      <c r="CT47" s="218"/>
      <c r="CU47" s="218"/>
      <c r="CV47" s="218"/>
      <c r="CW47" s="220"/>
      <c r="CX47" s="218"/>
      <c r="CY47" s="218"/>
      <c r="CZ47" s="218"/>
      <c r="DA47" s="218"/>
      <c r="DB47" s="218"/>
      <c r="DC47" s="221"/>
      <c r="DD47" s="218"/>
      <c r="DE47" s="218"/>
      <c r="DF47" s="218"/>
      <c r="DG47" s="218"/>
      <c r="DH47" s="218"/>
      <c r="DI47" s="220"/>
      <c r="DJ47" s="218"/>
      <c r="DK47" s="218"/>
      <c r="DL47" s="218"/>
      <c r="DM47" s="218"/>
      <c r="DN47" s="218"/>
      <c r="DO47" s="221"/>
      <c r="DP47" s="218"/>
      <c r="DQ47" s="218"/>
      <c r="DR47" s="218"/>
      <c r="DS47" s="218"/>
      <c r="DT47" s="218"/>
      <c r="DU47" s="222"/>
      <c r="DV47" s="217"/>
      <c r="DW47" s="218"/>
      <c r="DX47" s="218"/>
      <c r="DY47" s="218"/>
      <c r="DZ47" s="218"/>
      <c r="EA47" s="219"/>
      <c r="EB47" s="218"/>
      <c r="EC47" s="218"/>
      <c r="ED47" s="218"/>
      <c r="EE47" s="218"/>
      <c r="EF47" s="218"/>
      <c r="EG47" s="220"/>
      <c r="EH47" s="218"/>
      <c r="EI47" s="218"/>
      <c r="EJ47" s="218"/>
      <c r="EK47" s="218"/>
      <c r="EL47" s="218"/>
      <c r="EM47" s="221"/>
      <c r="EN47" s="218"/>
      <c r="EO47" s="218"/>
      <c r="EP47" s="218"/>
      <c r="EQ47" s="218"/>
      <c r="ER47" s="218"/>
      <c r="ES47" s="220"/>
      <c r="ET47" s="218"/>
      <c r="EU47" s="218"/>
      <c r="EV47" s="218"/>
      <c r="EW47" s="218"/>
      <c r="EX47" s="218"/>
      <c r="EY47" s="221"/>
      <c r="EZ47" s="218"/>
      <c r="FA47" s="218"/>
      <c r="FB47" s="218"/>
      <c r="FC47" s="218"/>
      <c r="FD47" s="218"/>
      <c r="FE47" s="220"/>
      <c r="FF47" s="218"/>
      <c r="FG47" s="218"/>
      <c r="FH47" s="218"/>
      <c r="FI47" s="218"/>
      <c r="FJ47" s="218"/>
      <c r="FK47" s="221"/>
      <c r="FL47" s="218"/>
      <c r="FM47" s="218"/>
      <c r="FN47" s="218"/>
      <c r="FO47" s="218"/>
      <c r="FP47" s="218"/>
      <c r="FQ47" s="220"/>
      <c r="FR47" s="218"/>
      <c r="FS47" s="218"/>
      <c r="FT47" s="218"/>
      <c r="FU47" s="218"/>
      <c r="FV47" s="218"/>
      <c r="FW47" s="221"/>
      <c r="FX47" s="218"/>
      <c r="FY47" s="218"/>
      <c r="FZ47" s="218"/>
      <c r="GA47" s="218"/>
      <c r="GB47" s="218"/>
      <c r="GC47" s="222"/>
      <c r="GD47" s="217"/>
      <c r="GE47" s="218"/>
      <c r="GF47" s="218"/>
      <c r="GG47" s="218"/>
      <c r="GH47" s="218"/>
      <c r="GI47" s="219"/>
      <c r="GJ47" s="218"/>
      <c r="GK47" s="218"/>
      <c r="GL47" s="218"/>
      <c r="GM47" s="218"/>
      <c r="GN47" s="218"/>
      <c r="GO47" s="220"/>
      <c r="GP47" s="218"/>
      <c r="GQ47" s="218"/>
      <c r="GR47" s="218"/>
      <c r="GS47" s="218"/>
      <c r="GT47" s="218"/>
      <c r="GU47" s="221"/>
      <c r="GV47" s="218"/>
      <c r="GW47" s="218"/>
      <c r="GX47" s="218"/>
      <c r="GY47" s="218"/>
      <c r="GZ47" s="218"/>
      <c r="HA47" s="220"/>
      <c r="HB47" s="218"/>
      <c r="HC47" s="218"/>
      <c r="HD47" s="218"/>
      <c r="HE47" s="218"/>
      <c r="HF47" s="218"/>
      <c r="HG47" s="221"/>
      <c r="HH47" s="218"/>
      <c r="HI47" s="218"/>
      <c r="HJ47" s="218"/>
      <c r="HK47" s="218"/>
      <c r="HL47" s="218"/>
      <c r="HM47" s="220"/>
      <c r="HN47" s="218"/>
      <c r="HO47" s="218"/>
      <c r="HP47" s="218"/>
      <c r="HQ47" s="218"/>
      <c r="HR47" s="218"/>
      <c r="HS47" s="221"/>
      <c r="HT47" s="218"/>
      <c r="HU47" s="218"/>
      <c r="HV47" s="218"/>
      <c r="HW47" s="218"/>
      <c r="HX47" s="218"/>
      <c r="HY47" s="220"/>
      <c r="HZ47" s="218"/>
      <c r="IA47" s="218"/>
      <c r="IB47" s="218"/>
      <c r="IC47" s="218"/>
      <c r="ID47" s="218"/>
      <c r="IE47" s="221"/>
      <c r="IF47" s="218"/>
      <c r="IG47" s="218"/>
      <c r="IH47" s="218"/>
      <c r="II47" s="218"/>
      <c r="IJ47" s="218"/>
      <c r="IK47" s="222"/>
      <c r="IL47" s="217"/>
      <c r="IM47" s="218"/>
      <c r="IN47" s="218"/>
      <c r="IO47" s="218"/>
      <c r="IP47" s="218"/>
      <c r="IQ47" s="219"/>
      <c r="IR47" s="218"/>
      <c r="IS47" s="218"/>
      <c r="IT47" s="218"/>
      <c r="IU47" s="218"/>
      <c r="IV47" s="218"/>
      <c r="IW47" s="220"/>
      <c r="IX47" s="218"/>
      <c r="IY47" s="218"/>
      <c r="IZ47" s="218"/>
      <c r="JA47" s="218"/>
      <c r="JB47" s="218"/>
      <c r="JC47" s="221"/>
      <c r="JD47" s="218"/>
      <c r="JE47" s="218"/>
      <c r="JF47" s="218"/>
      <c r="JG47" s="218"/>
      <c r="JH47" s="218"/>
      <c r="JI47" s="220"/>
      <c r="JJ47" s="218"/>
      <c r="JK47" s="218"/>
      <c r="JL47" s="218"/>
      <c r="JM47" s="218"/>
      <c r="JN47" s="218"/>
      <c r="JO47" s="221"/>
      <c r="JP47" s="218"/>
      <c r="JQ47" s="218"/>
      <c r="JR47" s="218"/>
      <c r="JS47" s="218"/>
      <c r="JT47" s="218"/>
      <c r="JU47" s="220"/>
      <c r="JV47" s="218"/>
      <c r="JW47" s="218"/>
      <c r="JX47" s="218"/>
      <c r="JY47" s="218"/>
      <c r="JZ47" s="218"/>
      <c r="KA47" s="221"/>
      <c r="KB47" s="218"/>
      <c r="KC47" s="218"/>
      <c r="KD47" s="218"/>
      <c r="KE47" s="218"/>
      <c r="KF47" s="218"/>
      <c r="KG47" s="220"/>
      <c r="KH47" s="218"/>
      <c r="KI47" s="218"/>
      <c r="KJ47" s="218"/>
      <c r="KK47" s="218"/>
      <c r="KL47" s="218"/>
      <c r="KM47" s="221"/>
      <c r="KN47" s="218"/>
      <c r="KO47" s="218"/>
      <c r="KP47" s="218"/>
      <c r="KQ47" s="218"/>
      <c r="KR47" s="218"/>
      <c r="KS47" s="222"/>
      <c r="KT47" s="217"/>
      <c r="KU47" s="218"/>
      <c r="KV47" s="218"/>
      <c r="KW47" s="218"/>
      <c r="KX47" s="218"/>
      <c r="KY47" s="219"/>
      <c r="KZ47" s="218"/>
      <c r="LA47" s="218"/>
      <c r="LB47" s="218"/>
      <c r="LC47" s="218"/>
      <c r="LD47" s="218"/>
      <c r="LE47" s="220"/>
      <c r="LF47" s="218"/>
      <c r="LG47" s="218"/>
      <c r="LH47" s="218"/>
      <c r="LI47" s="218"/>
      <c r="LJ47" s="218"/>
      <c r="LK47" s="221"/>
      <c r="LL47" s="218"/>
      <c r="LM47" s="218"/>
      <c r="LN47" s="218"/>
      <c r="LO47" s="218"/>
      <c r="LP47" s="218"/>
      <c r="LQ47" s="220"/>
      <c r="LR47" s="218"/>
      <c r="LS47" s="218"/>
      <c r="LT47" s="218"/>
      <c r="LU47" s="218"/>
      <c r="LV47" s="218"/>
      <c r="LW47" s="221"/>
      <c r="LX47" s="218"/>
      <c r="LY47" s="218"/>
      <c r="LZ47" s="218"/>
      <c r="MA47" s="218"/>
      <c r="MB47" s="218"/>
      <c r="MC47" s="220"/>
      <c r="MD47" s="218"/>
      <c r="ME47" s="218"/>
      <c r="MF47" s="218"/>
      <c r="MG47" s="218"/>
      <c r="MH47" s="218"/>
      <c r="MI47" s="221"/>
      <c r="MJ47" s="218"/>
      <c r="MK47" s="218"/>
      <c r="ML47" s="218"/>
      <c r="MM47" s="218"/>
      <c r="MN47" s="218"/>
      <c r="MO47" s="220"/>
      <c r="MP47" s="218"/>
      <c r="MQ47" s="218"/>
      <c r="MR47" s="218"/>
      <c r="MS47" s="218"/>
      <c r="MT47" s="218"/>
      <c r="MU47" s="221"/>
      <c r="MV47" s="218"/>
      <c r="MW47" s="218"/>
      <c r="MX47" s="218"/>
      <c r="MY47" s="218"/>
      <c r="MZ47" s="218"/>
      <c r="NA47" s="222"/>
      <c r="NB47" s="217"/>
      <c r="NC47" s="218"/>
      <c r="ND47" s="218"/>
      <c r="NE47" s="218"/>
      <c r="NF47" s="218"/>
      <c r="NG47" s="219"/>
      <c r="NH47" s="218"/>
      <c r="NI47" s="218"/>
      <c r="NJ47" s="218"/>
      <c r="NK47" s="218"/>
      <c r="NL47" s="218"/>
      <c r="NM47" s="220"/>
      <c r="NN47" s="218"/>
      <c r="NO47" s="218"/>
      <c r="NP47" s="218"/>
      <c r="NQ47" s="218"/>
      <c r="NR47" s="218"/>
      <c r="NS47" s="221"/>
      <c r="NT47" s="218"/>
      <c r="NU47" s="218"/>
      <c r="NV47" s="218"/>
      <c r="NW47" s="218"/>
      <c r="NX47" s="218"/>
      <c r="NY47" s="220"/>
      <c r="NZ47" s="218"/>
      <c r="OA47" s="218"/>
      <c r="OB47" s="218"/>
      <c r="OC47" s="218"/>
      <c r="OD47" s="218"/>
      <c r="OE47" s="221"/>
      <c r="OF47" s="218"/>
      <c r="OG47" s="218"/>
      <c r="OH47" s="218"/>
      <c r="OI47" s="218"/>
      <c r="OJ47" s="218"/>
      <c r="OK47" s="220"/>
      <c r="OL47" s="218"/>
      <c r="OM47" s="218"/>
      <c r="ON47" s="218"/>
      <c r="OO47" s="218"/>
      <c r="OP47" s="218"/>
      <c r="OQ47" s="221"/>
      <c r="OR47" s="218"/>
      <c r="OS47" s="218"/>
      <c r="OT47" s="218"/>
      <c r="OU47" s="218"/>
      <c r="OV47" s="218"/>
      <c r="OW47" s="220"/>
      <c r="OX47" s="218"/>
      <c r="OY47" s="218"/>
      <c r="OZ47" s="218"/>
      <c r="PA47" s="218"/>
      <c r="PB47" s="218"/>
      <c r="PC47" s="221"/>
      <c r="PD47" s="218"/>
      <c r="PE47" s="218"/>
      <c r="PF47" s="218"/>
      <c r="PG47" s="218"/>
      <c r="PH47" s="218"/>
      <c r="PI47" s="222"/>
      <c r="PJ47" s="217"/>
      <c r="PK47" s="218"/>
      <c r="PL47" s="218"/>
      <c r="PM47" s="218"/>
      <c r="PN47" s="218"/>
      <c r="PO47" s="219"/>
      <c r="PP47" s="218"/>
      <c r="PQ47" s="218"/>
      <c r="PR47" s="218"/>
      <c r="PS47" s="218"/>
      <c r="PT47" s="218"/>
      <c r="PU47" s="220"/>
      <c r="PV47" s="218"/>
      <c r="PW47" s="218"/>
      <c r="PX47" s="218"/>
      <c r="PY47" s="218"/>
      <c r="PZ47" s="218"/>
      <c r="QA47" s="221"/>
      <c r="QB47" s="218"/>
      <c r="QC47" s="218"/>
      <c r="QD47" s="218"/>
      <c r="QE47" s="218"/>
      <c r="QF47" s="218"/>
      <c r="QG47" s="220"/>
      <c r="QH47" s="218"/>
      <c r="QI47" s="218"/>
      <c r="QJ47" s="218"/>
      <c r="QK47" s="218"/>
      <c r="QL47" s="218"/>
      <c r="QM47" s="221"/>
      <c r="QN47" s="218"/>
      <c r="QO47" s="218"/>
      <c r="QP47" s="218"/>
      <c r="QQ47" s="218"/>
      <c r="QR47" s="218"/>
      <c r="QS47" s="220"/>
      <c r="QT47" s="218"/>
      <c r="QU47" s="218"/>
      <c r="QV47" s="218"/>
      <c r="QW47" s="218"/>
      <c r="QX47" s="218"/>
      <c r="QY47" s="221"/>
      <c r="QZ47" s="218"/>
      <c r="RA47" s="218"/>
      <c r="RB47" s="218"/>
      <c r="RC47" s="218"/>
      <c r="RD47" s="218"/>
      <c r="RE47" s="220"/>
      <c r="RF47" s="218"/>
      <c r="RG47" s="218"/>
      <c r="RH47" s="218"/>
      <c r="RI47" s="218"/>
      <c r="RJ47" s="218"/>
      <c r="RK47" s="221"/>
      <c r="RL47" s="218"/>
      <c r="RM47" s="218"/>
      <c r="RN47" s="218"/>
      <c r="RO47" s="218"/>
      <c r="RP47" s="218"/>
      <c r="RQ47" s="222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73"/>
    </row>
    <row r="48" spans="1:1326" ht="20.100000000000001" customHeight="1" x14ac:dyDescent="0.3">
      <c r="A48" s="78" t="s">
        <v>27</v>
      </c>
      <c r="B48" s="51" t="str">
        <f>IF(LEN(C81)=0,"",C81)</f>
        <v>Préparation livrable et envoi final</v>
      </c>
      <c r="C48" s="169"/>
      <c r="D48" s="121" t="str">
        <f t="shared" si="0"/>
        <v>90h</v>
      </c>
      <c r="E48" s="22">
        <v>1080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73"/>
    </row>
    <row r="49" spans="1:1326" ht="20.100000000000001" customHeight="1" x14ac:dyDescent="0.25">
      <c r="A49" s="78" t="s">
        <v>26</v>
      </c>
      <c r="B49" s="51" t="str">
        <f>IF(LEN(C83)=0,"",C83)</f>
        <v>Test - Unitaire &amp; Intégration</v>
      </c>
      <c r="C49" s="163" t="s">
        <v>77</v>
      </c>
      <c r="D49" s="119" t="str">
        <f t="shared" si="0"/>
        <v>90h</v>
      </c>
      <c r="E49" s="26">
        <v>1080</v>
      </c>
      <c r="F49" s="211"/>
      <c r="G49" s="212"/>
      <c r="H49" s="212"/>
      <c r="I49" s="212"/>
      <c r="J49" s="212"/>
      <c r="K49" s="213"/>
      <c r="L49" s="212"/>
      <c r="M49" s="212"/>
      <c r="N49" s="212"/>
      <c r="O49" s="212"/>
      <c r="P49" s="212"/>
      <c r="Q49" s="214"/>
      <c r="R49" s="212"/>
      <c r="S49" s="212"/>
      <c r="T49" s="212"/>
      <c r="U49" s="212"/>
      <c r="V49" s="212"/>
      <c r="W49" s="215"/>
      <c r="X49" s="212"/>
      <c r="Y49" s="212"/>
      <c r="Z49" s="212"/>
      <c r="AA49" s="212"/>
      <c r="AB49" s="212"/>
      <c r="AC49" s="214"/>
      <c r="AD49" s="212"/>
      <c r="AE49" s="212"/>
      <c r="AF49" s="212"/>
      <c r="AG49" s="212"/>
      <c r="AH49" s="212"/>
      <c r="AI49" s="215"/>
      <c r="AJ49" s="212"/>
      <c r="AK49" s="212"/>
      <c r="AL49" s="212"/>
      <c r="AM49" s="212"/>
      <c r="AN49" s="212"/>
      <c r="AO49" s="214"/>
      <c r="AP49" s="212"/>
      <c r="AQ49" s="212"/>
      <c r="AR49" s="212"/>
      <c r="AS49" s="212"/>
      <c r="AT49" s="212"/>
      <c r="AU49" s="215"/>
      <c r="AV49" s="212"/>
      <c r="AW49" s="212"/>
      <c r="AX49" s="212"/>
      <c r="AY49" s="212"/>
      <c r="AZ49" s="212"/>
      <c r="BA49" s="214"/>
      <c r="BB49" s="212"/>
      <c r="BC49" s="212"/>
      <c r="BD49" s="212"/>
      <c r="BE49" s="212"/>
      <c r="BF49" s="212"/>
      <c r="BG49" s="215"/>
      <c r="BH49" s="212"/>
      <c r="BI49" s="212"/>
      <c r="BJ49" s="212"/>
      <c r="BK49" s="212"/>
      <c r="BL49" s="212"/>
      <c r="BM49" s="216"/>
      <c r="BN49" s="211"/>
      <c r="BO49" s="212"/>
      <c r="BP49" s="212"/>
      <c r="BQ49" s="212"/>
      <c r="BR49" s="212"/>
      <c r="BS49" s="213"/>
      <c r="BT49" s="212"/>
      <c r="BU49" s="212"/>
      <c r="BV49" s="212"/>
      <c r="BW49" s="212"/>
      <c r="BX49" s="212"/>
      <c r="BY49" s="214"/>
      <c r="BZ49" s="212"/>
      <c r="CA49" s="212"/>
      <c r="CB49" s="212"/>
      <c r="CC49" s="212"/>
      <c r="CD49" s="212"/>
      <c r="CE49" s="215"/>
      <c r="CF49" s="212"/>
      <c r="CG49" s="212"/>
      <c r="CH49" s="212"/>
      <c r="CI49" s="212"/>
      <c r="CJ49" s="212"/>
      <c r="CK49" s="214"/>
      <c r="CL49" s="212"/>
      <c r="CM49" s="212"/>
      <c r="CN49" s="212"/>
      <c r="CO49" s="212"/>
      <c r="CP49" s="212"/>
      <c r="CQ49" s="215"/>
      <c r="CR49" s="212"/>
      <c r="CS49" s="212"/>
      <c r="CT49" s="212"/>
      <c r="CU49" s="212"/>
      <c r="CV49" s="212"/>
      <c r="CW49" s="214"/>
      <c r="CX49" s="212"/>
      <c r="CY49" s="212"/>
      <c r="CZ49" s="212"/>
      <c r="DA49" s="212"/>
      <c r="DB49" s="212"/>
      <c r="DC49" s="215"/>
      <c r="DD49" s="212"/>
      <c r="DE49" s="212"/>
      <c r="DF49" s="212"/>
      <c r="DG49" s="212"/>
      <c r="DH49" s="212"/>
      <c r="DI49" s="214"/>
      <c r="DJ49" s="212"/>
      <c r="DK49" s="212"/>
      <c r="DL49" s="212"/>
      <c r="DM49" s="212"/>
      <c r="DN49" s="212"/>
      <c r="DO49" s="215"/>
      <c r="DP49" s="212"/>
      <c r="DQ49" s="212"/>
      <c r="DR49" s="212"/>
      <c r="DS49" s="212"/>
      <c r="DT49" s="212"/>
      <c r="DU49" s="216"/>
      <c r="DV49" s="211"/>
      <c r="DW49" s="212"/>
      <c r="DX49" s="212"/>
      <c r="DY49" s="212"/>
      <c r="DZ49" s="212"/>
      <c r="EA49" s="213"/>
      <c r="EB49" s="212"/>
      <c r="EC49" s="212"/>
      <c r="ED49" s="212"/>
      <c r="EE49" s="212"/>
      <c r="EF49" s="212"/>
      <c r="EG49" s="214"/>
      <c r="EH49" s="212"/>
      <c r="EI49" s="212"/>
      <c r="EJ49" s="212"/>
      <c r="EK49" s="212"/>
      <c r="EL49" s="212"/>
      <c r="EM49" s="215"/>
      <c r="EN49" s="212"/>
      <c r="EO49" s="212"/>
      <c r="EP49" s="212"/>
      <c r="EQ49" s="212"/>
      <c r="ER49" s="212"/>
      <c r="ES49" s="214"/>
      <c r="ET49" s="212"/>
      <c r="EU49" s="212"/>
      <c r="EV49" s="212"/>
      <c r="EW49" s="212"/>
      <c r="EX49" s="212"/>
      <c r="EY49" s="215"/>
      <c r="EZ49" s="212"/>
      <c r="FA49" s="212"/>
      <c r="FB49" s="212"/>
      <c r="FC49" s="212"/>
      <c r="FD49" s="212"/>
      <c r="FE49" s="214"/>
      <c r="FF49" s="212"/>
      <c r="FG49" s="212"/>
      <c r="FH49" s="212"/>
      <c r="FI49" s="212"/>
      <c r="FJ49" s="212"/>
      <c r="FK49" s="215"/>
      <c r="FL49" s="212"/>
      <c r="FM49" s="212"/>
      <c r="FN49" s="212"/>
      <c r="FO49" s="212"/>
      <c r="FP49" s="212"/>
      <c r="FQ49" s="214"/>
      <c r="FR49" s="212"/>
      <c r="FS49" s="212"/>
      <c r="FT49" s="212"/>
      <c r="FU49" s="212"/>
      <c r="FV49" s="212"/>
      <c r="FW49" s="215"/>
      <c r="FX49" s="212"/>
      <c r="FY49" s="212"/>
      <c r="FZ49" s="212"/>
      <c r="GA49" s="212"/>
      <c r="GB49" s="212"/>
      <c r="GC49" s="216"/>
      <c r="GD49" s="211"/>
      <c r="GE49" s="212"/>
      <c r="GF49" s="212"/>
      <c r="GG49" s="212"/>
      <c r="GH49" s="212"/>
      <c r="GI49" s="213"/>
      <c r="GJ49" s="212"/>
      <c r="GK49" s="212"/>
      <c r="GL49" s="212"/>
      <c r="GM49" s="212"/>
      <c r="GN49" s="212"/>
      <c r="GO49" s="214"/>
      <c r="GP49" s="212"/>
      <c r="GQ49" s="212"/>
      <c r="GR49" s="212"/>
      <c r="GS49" s="212"/>
      <c r="GT49" s="212"/>
      <c r="GU49" s="215"/>
      <c r="GV49" s="212"/>
      <c r="GW49" s="212"/>
      <c r="GX49" s="212"/>
      <c r="GY49" s="212"/>
      <c r="GZ49" s="212"/>
      <c r="HA49" s="214"/>
      <c r="HB49" s="212"/>
      <c r="HC49" s="212"/>
      <c r="HD49" s="212"/>
      <c r="HE49" s="212"/>
      <c r="HF49" s="212"/>
      <c r="HG49" s="215"/>
      <c r="HH49" s="212"/>
      <c r="HI49" s="212"/>
      <c r="HJ49" s="212"/>
      <c r="HK49" s="212"/>
      <c r="HL49" s="212"/>
      <c r="HM49" s="214"/>
      <c r="HN49" s="212"/>
      <c r="HO49" s="212"/>
      <c r="HP49" s="212"/>
      <c r="HQ49" s="212"/>
      <c r="HR49" s="212"/>
      <c r="HS49" s="215"/>
      <c r="HT49" s="212"/>
      <c r="HU49" s="212"/>
      <c r="HV49" s="212"/>
      <c r="HW49" s="212"/>
      <c r="HX49" s="212"/>
      <c r="HY49" s="214"/>
      <c r="HZ49" s="212"/>
      <c r="IA49" s="212"/>
      <c r="IB49" s="212"/>
      <c r="IC49" s="212"/>
      <c r="ID49" s="212"/>
      <c r="IE49" s="215"/>
      <c r="IF49" s="212"/>
      <c r="IG49" s="212"/>
      <c r="IH49" s="212"/>
      <c r="II49" s="212"/>
      <c r="IJ49" s="212"/>
      <c r="IK49" s="216"/>
      <c r="IL49" s="211"/>
      <c r="IM49" s="212"/>
      <c r="IN49" s="212"/>
      <c r="IO49" s="212"/>
      <c r="IP49" s="212"/>
      <c r="IQ49" s="213"/>
      <c r="IR49" s="212"/>
      <c r="IS49" s="212"/>
      <c r="IT49" s="212"/>
      <c r="IU49" s="212"/>
      <c r="IV49" s="212"/>
      <c r="IW49" s="214"/>
      <c r="IX49" s="212"/>
      <c r="IY49" s="212"/>
      <c r="IZ49" s="212"/>
      <c r="JA49" s="212"/>
      <c r="JB49" s="212"/>
      <c r="JC49" s="215"/>
      <c r="JD49" s="212"/>
      <c r="JE49" s="212"/>
      <c r="JF49" s="212"/>
      <c r="JG49" s="212"/>
      <c r="JH49" s="212"/>
      <c r="JI49" s="214"/>
      <c r="JJ49" s="212"/>
      <c r="JK49" s="212"/>
      <c r="JL49" s="212"/>
      <c r="JM49" s="212"/>
      <c r="JN49" s="212"/>
      <c r="JO49" s="215"/>
      <c r="JP49" s="212"/>
      <c r="JQ49" s="212"/>
      <c r="JR49" s="212"/>
      <c r="JS49" s="212"/>
      <c r="JT49" s="212"/>
      <c r="JU49" s="214"/>
      <c r="JV49" s="212"/>
      <c r="JW49" s="212"/>
      <c r="JX49" s="212"/>
      <c r="JY49" s="212"/>
      <c r="JZ49" s="212"/>
      <c r="KA49" s="215"/>
      <c r="KB49" s="212"/>
      <c r="KC49" s="212"/>
      <c r="KD49" s="212"/>
      <c r="KE49" s="212"/>
      <c r="KF49" s="212"/>
      <c r="KG49" s="214"/>
      <c r="KH49" s="212"/>
      <c r="KI49" s="212"/>
      <c r="KJ49" s="212"/>
      <c r="KK49" s="212"/>
      <c r="KL49" s="212"/>
      <c r="KM49" s="215"/>
      <c r="KN49" s="212"/>
      <c r="KO49" s="212"/>
      <c r="KP49" s="212"/>
      <c r="KQ49" s="212"/>
      <c r="KR49" s="212"/>
      <c r="KS49" s="216"/>
      <c r="KT49" s="211"/>
      <c r="KU49" s="212"/>
      <c r="KV49" s="212"/>
      <c r="KW49" s="212"/>
      <c r="KX49" s="212"/>
      <c r="KY49" s="213"/>
      <c r="KZ49" s="212"/>
      <c r="LA49" s="212"/>
      <c r="LB49" s="212"/>
      <c r="LC49" s="212"/>
      <c r="LD49" s="212"/>
      <c r="LE49" s="214"/>
      <c r="LF49" s="212"/>
      <c r="LG49" s="212"/>
      <c r="LH49" s="212"/>
      <c r="LI49" s="212"/>
      <c r="LJ49" s="212"/>
      <c r="LK49" s="215"/>
      <c r="LL49" s="212"/>
      <c r="LM49" s="212"/>
      <c r="LN49" s="212"/>
      <c r="LO49" s="212"/>
      <c r="LP49" s="212"/>
      <c r="LQ49" s="214"/>
      <c r="LR49" s="212"/>
      <c r="LS49" s="212"/>
      <c r="LT49" s="212"/>
      <c r="LU49" s="212"/>
      <c r="LV49" s="212"/>
      <c r="LW49" s="215"/>
      <c r="LX49" s="212"/>
      <c r="LY49" s="212"/>
      <c r="LZ49" s="212"/>
      <c r="MA49" s="212"/>
      <c r="MB49" s="212"/>
      <c r="MC49" s="214"/>
      <c r="MD49" s="212"/>
      <c r="ME49" s="212"/>
      <c r="MF49" s="212"/>
      <c r="MG49" s="212"/>
      <c r="MH49" s="212"/>
      <c r="MI49" s="215"/>
      <c r="MJ49" s="212"/>
      <c r="MK49" s="212"/>
      <c r="ML49" s="212"/>
      <c r="MM49" s="212"/>
      <c r="MN49" s="212"/>
      <c r="MO49" s="214"/>
      <c r="MP49" s="212"/>
      <c r="MQ49" s="212"/>
      <c r="MR49" s="212"/>
      <c r="MS49" s="212"/>
      <c r="MT49" s="212"/>
      <c r="MU49" s="215"/>
      <c r="MV49" s="212"/>
      <c r="MW49" s="212"/>
      <c r="MX49" s="212"/>
      <c r="MY49" s="212"/>
      <c r="MZ49" s="212"/>
      <c r="NA49" s="216"/>
      <c r="NB49" s="211"/>
      <c r="NC49" s="212"/>
      <c r="ND49" s="212"/>
      <c r="NE49" s="212"/>
      <c r="NF49" s="212"/>
      <c r="NG49" s="213"/>
      <c r="NH49" s="212"/>
      <c r="NI49" s="212"/>
      <c r="NJ49" s="212"/>
      <c r="NK49" s="212"/>
      <c r="NL49" s="212"/>
      <c r="NM49" s="214"/>
      <c r="NN49" s="212"/>
      <c r="NO49" s="212"/>
      <c r="NP49" s="212"/>
      <c r="NQ49" s="212"/>
      <c r="NR49" s="212"/>
      <c r="NS49" s="215"/>
      <c r="NT49" s="212"/>
      <c r="NU49" s="212"/>
      <c r="NV49" s="212"/>
      <c r="NW49" s="212"/>
      <c r="NX49" s="212"/>
      <c r="NY49" s="214"/>
      <c r="NZ49" s="212"/>
      <c r="OA49" s="212"/>
      <c r="OB49" s="212"/>
      <c r="OC49" s="212"/>
      <c r="OD49" s="212"/>
      <c r="OE49" s="215"/>
      <c r="OF49" s="212"/>
      <c r="OG49" s="212"/>
      <c r="OH49" s="212"/>
      <c r="OI49" s="212"/>
      <c r="OJ49" s="212"/>
      <c r="OK49" s="214"/>
      <c r="OL49" s="212"/>
      <c r="OM49" s="212"/>
      <c r="ON49" s="212"/>
      <c r="OO49" s="212"/>
      <c r="OP49" s="212"/>
      <c r="OQ49" s="215"/>
      <c r="OR49" s="212"/>
      <c r="OS49" s="212"/>
      <c r="OT49" s="212"/>
      <c r="OU49" s="212"/>
      <c r="OV49" s="212"/>
      <c r="OW49" s="214"/>
      <c r="OX49" s="212"/>
      <c r="OY49" s="212"/>
      <c r="OZ49" s="212"/>
      <c r="PA49" s="212"/>
      <c r="PB49" s="212"/>
      <c r="PC49" s="215"/>
      <c r="PD49" s="212"/>
      <c r="PE49" s="212"/>
      <c r="PF49" s="212"/>
      <c r="PG49" s="212"/>
      <c r="PH49" s="212"/>
      <c r="PI49" s="216"/>
      <c r="PJ49" s="211"/>
      <c r="PK49" s="212"/>
      <c r="PL49" s="212"/>
      <c r="PM49" s="212"/>
      <c r="PN49" s="212"/>
      <c r="PO49" s="213"/>
      <c r="PP49" s="212"/>
      <c r="PQ49" s="212"/>
      <c r="PR49" s="212"/>
      <c r="PS49" s="212"/>
      <c r="PT49" s="212"/>
      <c r="PU49" s="214"/>
      <c r="PV49" s="212"/>
      <c r="PW49" s="212"/>
      <c r="PX49" s="212"/>
      <c r="PY49" s="212"/>
      <c r="PZ49" s="212"/>
      <c r="QA49" s="215"/>
      <c r="QB49" s="212"/>
      <c r="QC49" s="212"/>
      <c r="QD49" s="212"/>
      <c r="QE49" s="212"/>
      <c r="QF49" s="212"/>
      <c r="QG49" s="214"/>
      <c r="QH49" s="212"/>
      <c r="QI49" s="212"/>
      <c r="QJ49" s="212"/>
      <c r="QK49" s="212"/>
      <c r="QL49" s="212"/>
      <c r="QM49" s="215"/>
      <c r="QN49" s="212"/>
      <c r="QO49" s="212"/>
      <c r="QP49" s="212"/>
      <c r="QQ49" s="212"/>
      <c r="QR49" s="212"/>
      <c r="QS49" s="214"/>
      <c r="QT49" s="212"/>
      <c r="QU49" s="212"/>
      <c r="QV49" s="212"/>
      <c r="QW49" s="212"/>
      <c r="QX49" s="212"/>
      <c r="QY49" s="215"/>
      <c r="QZ49" s="212"/>
      <c r="RA49" s="212"/>
      <c r="RB49" s="212"/>
      <c r="RC49" s="212"/>
      <c r="RD49" s="212"/>
      <c r="RE49" s="214"/>
      <c r="RF49" s="212"/>
      <c r="RG49" s="212"/>
      <c r="RH49" s="212"/>
      <c r="RI49" s="212"/>
      <c r="RJ49" s="212"/>
      <c r="RK49" s="215"/>
      <c r="RL49" s="212"/>
      <c r="RM49" s="212"/>
      <c r="RN49" s="212"/>
      <c r="RO49" s="212"/>
      <c r="RP49" s="212"/>
      <c r="RQ49" s="216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28"/>
      <c r="ADY49" s="28"/>
      <c r="ADZ49" s="28"/>
      <c r="AEA49" s="28"/>
      <c r="AEB49" s="28"/>
      <c r="AEC49" s="110"/>
      <c r="AED49" s="28"/>
      <c r="AEE49" s="28"/>
      <c r="AEF49" s="28"/>
      <c r="AEG49" s="28"/>
      <c r="AEH49" s="2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05"/>
      <c r="AFT49" s="28"/>
      <c r="AFU49" s="28"/>
      <c r="AFV49" s="28"/>
      <c r="AFW49" s="28"/>
      <c r="AFX49" s="28"/>
      <c r="AFY49" s="110"/>
      <c r="AFZ49" s="28"/>
      <c r="AGA49" s="28"/>
      <c r="AGB49" s="28"/>
      <c r="AGC49" s="28"/>
      <c r="AGD49" s="28"/>
      <c r="AGE49" s="57"/>
      <c r="AGF49" s="28"/>
      <c r="AGG49" s="28"/>
      <c r="AGH49" s="28"/>
      <c r="AGI49" s="28"/>
      <c r="AGJ49" s="28"/>
      <c r="AGK49" s="110"/>
      <c r="AGL49" s="28"/>
      <c r="AGM49" s="28"/>
      <c r="AGN49" s="28"/>
      <c r="AGO49" s="28"/>
      <c r="AGP49" s="28"/>
      <c r="AGQ49" s="57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73"/>
    </row>
    <row r="50" spans="1:1326" ht="20.100000000000001" customHeight="1" x14ac:dyDescent="0.3">
      <c r="A50" s="78" t="s">
        <v>27</v>
      </c>
      <c r="B50" s="51" t="str">
        <f>IF(LEN(C85)=0,"",C85)</f>
        <v>UX/UI - Maquettes FIGMA / Charte graphique</v>
      </c>
      <c r="C50" s="164"/>
      <c r="D50" s="121" t="str">
        <f t="shared" si="0"/>
        <v>90h</v>
      </c>
      <c r="E50" s="30">
        <v>1080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73"/>
    </row>
    <row r="51" spans="1:1326" ht="20.100000000000001" customHeight="1" x14ac:dyDescent="0.25">
      <c r="A51" s="78" t="s">
        <v>26</v>
      </c>
      <c r="B51" s="51" t="str">
        <f>IF(LEN(C87)=0,"",C87)</f>
        <v>Visite expert 2</v>
      </c>
      <c r="C51" s="163" t="s">
        <v>80</v>
      </c>
      <c r="D51" s="119" t="str">
        <f t="shared" si="0"/>
        <v>90h</v>
      </c>
      <c r="E51" s="34">
        <v>1080</v>
      </c>
      <c r="F51" s="217"/>
      <c r="G51" s="218"/>
      <c r="H51" s="218"/>
      <c r="I51" s="218"/>
      <c r="J51" s="218"/>
      <c r="K51" s="219"/>
      <c r="L51" s="218"/>
      <c r="M51" s="218"/>
      <c r="N51" s="218"/>
      <c r="O51" s="218"/>
      <c r="P51" s="218"/>
      <c r="Q51" s="220"/>
      <c r="R51" s="218"/>
      <c r="S51" s="218"/>
      <c r="T51" s="218"/>
      <c r="U51" s="218"/>
      <c r="V51" s="218"/>
      <c r="W51" s="221"/>
      <c r="X51" s="218"/>
      <c r="Y51" s="218"/>
      <c r="Z51" s="218"/>
      <c r="AA51" s="218"/>
      <c r="AB51" s="218"/>
      <c r="AC51" s="220"/>
      <c r="AD51" s="218"/>
      <c r="AE51" s="218"/>
      <c r="AF51" s="218"/>
      <c r="AG51" s="218"/>
      <c r="AH51" s="218"/>
      <c r="AI51" s="221"/>
      <c r="AJ51" s="218"/>
      <c r="AK51" s="218"/>
      <c r="AL51" s="218"/>
      <c r="AM51" s="218"/>
      <c r="AN51" s="218"/>
      <c r="AO51" s="220"/>
      <c r="AP51" s="218"/>
      <c r="AQ51" s="218"/>
      <c r="AR51" s="218"/>
      <c r="AS51" s="218"/>
      <c r="AT51" s="218"/>
      <c r="AU51" s="221"/>
      <c r="AV51" s="218"/>
      <c r="AW51" s="218"/>
      <c r="AX51" s="218"/>
      <c r="AY51" s="218"/>
      <c r="AZ51" s="218"/>
      <c r="BA51" s="220"/>
      <c r="BB51" s="218"/>
      <c r="BC51" s="218"/>
      <c r="BD51" s="218"/>
      <c r="BE51" s="218"/>
      <c r="BF51" s="218"/>
      <c r="BG51" s="221"/>
      <c r="BH51" s="218"/>
      <c r="BI51" s="218"/>
      <c r="BJ51" s="218"/>
      <c r="BK51" s="218"/>
      <c r="BL51" s="218"/>
      <c r="BM51" s="222"/>
      <c r="BN51" s="217"/>
      <c r="BO51" s="218"/>
      <c r="BP51" s="218"/>
      <c r="BQ51" s="218"/>
      <c r="BR51" s="218"/>
      <c r="BS51" s="219"/>
      <c r="BT51" s="218"/>
      <c r="BU51" s="218"/>
      <c r="BV51" s="218"/>
      <c r="BW51" s="218"/>
      <c r="BX51" s="218"/>
      <c r="BY51" s="220"/>
      <c r="BZ51" s="218"/>
      <c r="CA51" s="218"/>
      <c r="CB51" s="218"/>
      <c r="CC51" s="218"/>
      <c r="CD51" s="218"/>
      <c r="CE51" s="221"/>
      <c r="CF51" s="218"/>
      <c r="CG51" s="218"/>
      <c r="CH51" s="218"/>
      <c r="CI51" s="218"/>
      <c r="CJ51" s="218"/>
      <c r="CK51" s="220"/>
      <c r="CL51" s="218"/>
      <c r="CM51" s="218"/>
      <c r="CN51" s="218"/>
      <c r="CO51" s="218"/>
      <c r="CP51" s="218"/>
      <c r="CQ51" s="221"/>
      <c r="CR51" s="218"/>
      <c r="CS51" s="218"/>
      <c r="CT51" s="218"/>
      <c r="CU51" s="218"/>
      <c r="CV51" s="218"/>
      <c r="CW51" s="220"/>
      <c r="CX51" s="218"/>
      <c r="CY51" s="218"/>
      <c r="CZ51" s="218"/>
      <c r="DA51" s="218"/>
      <c r="DB51" s="218"/>
      <c r="DC51" s="221"/>
      <c r="DD51" s="218"/>
      <c r="DE51" s="218"/>
      <c r="DF51" s="218"/>
      <c r="DG51" s="218"/>
      <c r="DH51" s="218"/>
      <c r="DI51" s="220"/>
      <c r="DJ51" s="218"/>
      <c r="DK51" s="218"/>
      <c r="DL51" s="218"/>
      <c r="DM51" s="218"/>
      <c r="DN51" s="218"/>
      <c r="DO51" s="221"/>
      <c r="DP51" s="218"/>
      <c r="DQ51" s="218"/>
      <c r="DR51" s="218"/>
      <c r="DS51" s="218"/>
      <c r="DT51" s="218"/>
      <c r="DU51" s="222"/>
      <c r="DV51" s="217"/>
      <c r="DW51" s="218"/>
      <c r="DX51" s="218"/>
      <c r="DY51" s="218"/>
      <c r="DZ51" s="218"/>
      <c r="EA51" s="219"/>
      <c r="EB51" s="218"/>
      <c r="EC51" s="218"/>
      <c r="ED51" s="218"/>
      <c r="EE51" s="218"/>
      <c r="EF51" s="218"/>
      <c r="EG51" s="220"/>
      <c r="EH51" s="218"/>
      <c r="EI51" s="218"/>
      <c r="EJ51" s="218"/>
      <c r="EK51" s="218"/>
      <c r="EL51" s="218"/>
      <c r="EM51" s="221"/>
      <c r="EN51" s="218"/>
      <c r="EO51" s="218"/>
      <c r="EP51" s="218"/>
      <c r="EQ51" s="218"/>
      <c r="ER51" s="218"/>
      <c r="ES51" s="220"/>
      <c r="ET51" s="218"/>
      <c r="EU51" s="218"/>
      <c r="EV51" s="218"/>
      <c r="EW51" s="218"/>
      <c r="EX51" s="218"/>
      <c r="EY51" s="221"/>
      <c r="EZ51" s="218"/>
      <c r="FA51" s="218"/>
      <c r="FB51" s="218"/>
      <c r="FC51" s="218"/>
      <c r="FD51" s="218"/>
      <c r="FE51" s="220"/>
      <c r="FF51" s="218"/>
      <c r="FG51" s="218"/>
      <c r="FH51" s="218"/>
      <c r="FI51" s="218"/>
      <c r="FJ51" s="218"/>
      <c r="FK51" s="221"/>
      <c r="FL51" s="218"/>
      <c r="FM51" s="218"/>
      <c r="FN51" s="218"/>
      <c r="FO51" s="218"/>
      <c r="FP51" s="218"/>
      <c r="FQ51" s="220"/>
      <c r="FR51" s="218"/>
      <c r="FS51" s="218"/>
      <c r="FT51" s="218"/>
      <c r="FU51" s="218"/>
      <c r="FV51" s="218"/>
      <c r="FW51" s="221"/>
      <c r="FX51" s="218"/>
      <c r="FY51" s="218"/>
      <c r="FZ51" s="218"/>
      <c r="GA51" s="218"/>
      <c r="GB51" s="218"/>
      <c r="GC51" s="222"/>
      <c r="GD51" s="217"/>
      <c r="GE51" s="218"/>
      <c r="GF51" s="218"/>
      <c r="GG51" s="218"/>
      <c r="GH51" s="218"/>
      <c r="GI51" s="219"/>
      <c r="GJ51" s="218"/>
      <c r="GK51" s="218"/>
      <c r="GL51" s="218"/>
      <c r="GM51" s="218"/>
      <c r="GN51" s="218"/>
      <c r="GO51" s="220"/>
      <c r="GP51" s="218"/>
      <c r="GQ51" s="218"/>
      <c r="GR51" s="218"/>
      <c r="GS51" s="218"/>
      <c r="GT51" s="218"/>
      <c r="GU51" s="221"/>
      <c r="GV51" s="218"/>
      <c r="GW51" s="218"/>
      <c r="GX51" s="218"/>
      <c r="GY51" s="218"/>
      <c r="GZ51" s="218"/>
      <c r="HA51" s="220"/>
      <c r="HB51" s="218"/>
      <c r="HC51" s="218"/>
      <c r="HD51" s="218"/>
      <c r="HE51" s="218"/>
      <c r="HF51" s="218"/>
      <c r="HG51" s="221"/>
      <c r="HH51" s="218"/>
      <c r="HI51" s="218"/>
      <c r="HJ51" s="218"/>
      <c r="HK51" s="218"/>
      <c r="HL51" s="218"/>
      <c r="HM51" s="220"/>
      <c r="HN51" s="218"/>
      <c r="HO51" s="218"/>
      <c r="HP51" s="218"/>
      <c r="HQ51" s="218"/>
      <c r="HR51" s="218"/>
      <c r="HS51" s="221"/>
      <c r="HT51" s="218"/>
      <c r="HU51" s="218"/>
      <c r="HV51" s="218"/>
      <c r="HW51" s="218"/>
      <c r="HX51" s="218"/>
      <c r="HY51" s="220"/>
      <c r="HZ51" s="218"/>
      <c r="IA51" s="218"/>
      <c r="IB51" s="218"/>
      <c r="IC51" s="218"/>
      <c r="ID51" s="218"/>
      <c r="IE51" s="221"/>
      <c r="IF51" s="218"/>
      <c r="IG51" s="218"/>
      <c r="IH51" s="218"/>
      <c r="II51" s="218"/>
      <c r="IJ51" s="218"/>
      <c r="IK51" s="222"/>
      <c r="IL51" s="217"/>
      <c r="IM51" s="218"/>
      <c r="IN51" s="218"/>
      <c r="IO51" s="218"/>
      <c r="IP51" s="218"/>
      <c r="IQ51" s="219"/>
      <c r="IR51" s="218"/>
      <c r="IS51" s="218"/>
      <c r="IT51" s="218"/>
      <c r="IU51" s="218"/>
      <c r="IV51" s="218"/>
      <c r="IW51" s="220"/>
      <c r="IX51" s="218"/>
      <c r="IY51" s="218"/>
      <c r="IZ51" s="218"/>
      <c r="JA51" s="218"/>
      <c r="JB51" s="218"/>
      <c r="JC51" s="221"/>
      <c r="JD51" s="218"/>
      <c r="JE51" s="218"/>
      <c r="JF51" s="218"/>
      <c r="JG51" s="218"/>
      <c r="JH51" s="218"/>
      <c r="JI51" s="220"/>
      <c r="JJ51" s="218"/>
      <c r="JK51" s="218"/>
      <c r="JL51" s="218"/>
      <c r="JM51" s="218"/>
      <c r="JN51" s="218"/>
      <c r="JO51" s="221"/>
      <c r="JP51" s="218"/>
      <c r="JQ51" s="218"/>
      <c r="JR51" s="218"/>
      <c r="JS51" s="218"/>
      <c r="JT51" s="218"/>
      <c r="JU51" s="220"/>
      <c r="JV51" s="218"/>
      <c r="JW51" s="218"/>
      <c r="JX51" s="218"/>
      <c r="JY51" s="218"/>
      <c r="JZ51" s="218"/>
      <c r="KA51" s="221"/>
      <c r="KB51" s="218"/>
      <c r="KC51" s="218"/>
      <c r="KD51" s="218"/>
      <c r="KE51" s="218"/>
      <c r="KF51" s="218"/>
      <c r="KG51" s="220"/>
      <c r="KH51" s="218"/>
      <c r="KI51" s="218"/>
      <c r="KJ51" s="218"/>
      <c r="KK51" s="218"/>
      <c r="KL51" s="218"/>
      <c r="KM51" s="221"/>
      <c r="KN51" s="218"/>
      <c r="KO51" s="218"/>
      <c r="KP51" s="218"/>
      <c r="KQ51" s="218"/>
      <c r="KR51" s="218"/>
      <c r="KS51" s="222"/>
      <c r="KT51" s="217"/>
      <c r="KU51" s="218"/>
      <c r="KV51" s="218"/>
      <c r="KW51" s="218"/>
      <c r="KX51" s="218"/>
      <c r="KY51" s="219"/>
      <c r="KZ51" s="218"/>
      <c r="LA51" s="218"/>
      <c r="LB51" s="218"/>
      <c r="LC51" s="218"/>
      <c r="LD51" s="218"/>
      <c r="LE51" s="220"/>
      <c r="LF51" s="218"/>
      <c r="LG51" s="218"/>
      <c r="LH51" s="218"/>
      <c r="LI51" s="218"/>
      <c r="LJ51" s="218"/>
      <c r="LK51" s="221"/>
      <c r="LL51" s="218"/>
      <c r="LM51" s="218"/>
      <c r="LN51" s="218"/>
      <c r="LO51" s="218"/>
      <c r="LP51" s="218"/>
      <c r="LQ51" s="220"/>
      <c r="LR51" s="218"/>
      <c r="LS51" s="218"/>
      <c r="LT51" s="218"/>
      <c r="LU51" s="218"/>
      <c r="LV51" s="218"/>
      <c r="LW51" s="221"/>
      <c r="LX51" s="218"/>
      <c r="LY51" s="218"/>
      <c r="LZ51" s="218"/>
      <c r="MA51" s="218"/>
      <c r="MB51" s="218"/>
      <c r="MC51" s="220"/>
      <c r="MD51" s="218"/>
      <c r="ME51" s="218"/>
      <c r="MF51" s="218"/>
      <c r="MG51" s="218"/>
      <c r="MH51" s="218"/>
      <c r="MI51" s="221"/>
      <c r="MJ51" s="218"/>
      <c r="MK51" s="218"/>
      <c r="ML51" s="218"/>
      <c r="MM51" s="218"/>
      <c r="MN51" s="218"/>
      <c r="MO51" s="220"/>
      <c r="MP51" s="218"/>
      <c r="MQ51" s="218"/>
      <c r="MR51" s="218"/>
      <c r="MS51" s="218"/>
      <c r="MT51" s="218"/>
      <c r="MU51" s="221"/>
      <c r="MV51" s="218"/>
      <c r="MW51" s="218"/>
      <c r="MX51" s="218"/>
      <c r="MY51" s="218"/>
      <c r="MZ51" s="218"/>
      <c r="NA51" s="222"/>
      <c r="NB51" s="217"/>
      <c r="NC51" s="218"/>
      <c r="ND51" s="218"/>
      <c r="NE51" s="218"/>
      <c r="NF51" s="218"/>
      <c r="NG51" s="219"/>
      <c r="NH51" s="218"/>
      <c r="NI51" s="218"/>
      <c r="NJ51" s="218"/>
      <c r="NK51" s="218"/>
      <c r="NL51" s="218"/>
      <c r="NM51" s="220"/>
      <c r="NN51" s="218"/>
      <c r="NO51" s="218"/>
      <c r="NP51" s="218"/>
      <c r="NQ51" s="218"/>
      <c r="NR51" s="218"/>
      <c r="NS51" s="221"/>
      <c r="NT51" s="218"/>
      <c r="NU51" s="218"/>
      <c r="NV51" s="218"/>
      <c r="NW51" s="218"/>
      <c r="NX51" s="218"/>
      <c r="NY51" s="220"/>
      <c r="NZ51" s="218"/>
      <c r="OA51" s="218"/>
      <c r="OB51" s="218"/>
      <c r="OC51" s="218"/>
      <c r="OD51" s="218"/>
      <c r="OE51" s="221"/>
      <c r="OF51" s="218"/>
      <c r="OG51" s="218"/>
      <c r="OH51" s="218"/>
      <c r="OI51" s="218"/>
      <c r="OJ51" s="218"/>
      <c r="OK51" s="220"/>
      <c r="OL51" s="218"/>
      <c r="OM51" s="218"/>
      <c r="ON51" s="218"/>
      <c r="OO51" s="218"/>
      <c r="OP51" s="218"/>
      <c r="OQ51" s="221"/>
      <c r="OR51" s="218"/>
      <c r="OS51" s="218"/>
      <c r="OT51" s="218"/>
      <c r="OU51" s="218"/>
      <c r="OV51" s="218"/>
      <c r="OW51" s="220"/>
      <c r="OX51" s="218"/>
      <c r="OY51" s="218"/>
      <c r="OZ51" s="218"/>
      <c r="PA51" s="218"/>
      <c r="PB51" s="218"/>
      <c r="PC51" s="221"/>
      <c r="PD51" s="218"/>
      <c r="PE51" s="218"/>
      <c r="PF51" s="218"/>
      <c r="PG51" s="218"/>
      <c r="PH51" s="218"/>
      <c r="PI51" s="222"/>
      <c r="PJ51" s="217"/>
      <c r="PK51" s="218"/>
      <c r="PL51" s="218"/>
      <c r="PM51" s="218"/>
      <c r="PN51" s="218"/>
      <c r="PO51" s="219"/>
      <c r="PP51" s="218"/>
      <c r="PQ51" s="218"/>
      <c r="PR51" s="218"/>
      <c r="PS51" s="218"/>
      <c r="PT51" s="218"/>
      <c r="PU51" s="220"/>
      <c r="PV51" s="218"/>
      <c r="PW51" s="218"/>
      <c r="PX51" s="218"/>
      <c r="PY51" s="218"/>
      <c r="PZ51" s="218"/>
      <c r="QA51" s="221"/>
      <c r="QB51" s="218"/>
      <c r="QC51" s="218"/>
      <c r="QD51" s="218"/>
      <c r="QE51" s="218"/>
      <c r="QF51" s="218"/>
      <c r="QG51" s="220"/>
      <c r="QH51" s="218"/>
      <c r="QI51" s="218"/>
      <c r="QJ51" s="218"/>
      <c r="QK51" s="218"/>
      <c r="QL51" s="218"/>
      <c r="QM51" s="221"/>
      <c r="QN51" s="218"/>
      <c r="QO51" s="218"/>
      <c r="QP51" s="218"/>
      <c r="QQ51" s="218"/>
      <c r="QR51" s="218"/>
      <c r="QS51" s="220"/>
      <c r="QT51" s="218"/>
      <c r="QU51" s="218"/>
      <c r="QV51" s="218"/>
      <c r="QW51" s="218"/>
      <c r="QX51" s="218"/>
      <c r="QY51" s="221"/>
      <c r="QZ51" s="218"/>
      <c r="RA51" s="218"/>
      <c r="RB51" s="218"/>
      <c r="RC51" s="218"/>
      <c r="RD51" s="218"/>
      <c r="RE51" s="220"/>
      <c r="RF51" s="218"/>
      <c r="RG51" s="218"/>
      <c r="RH51" s="218"/>
      <c r="RI51" s="218"/>
      <c r="RJ51" s="218"/>
      <c r="RK51" s="221"/>
      <c r="RL51" s="218"/>
      <c r="RM51" s="218"/>
      <c r="RN51" s="218"/>
      <c r="RO51" s="218"/>
      <c r="RP51" s="218"/>
      <c r="RQ51" s="222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36"/>
      <c r="AHA51" s="36"/>
      <c r="AHB51" s="36"/>
      <c r="AHC51" s="59"/>
      <c r="AHD51" s="36"/>
      <c r="AHE51" s="36"/>
      <c r="AHF51" s="36"/>
      <c r="AHG51" s="36"/>
      <c r="AHH51" s="36"/>
      <c r="AHI51" s="112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07"/>
      <c r="AIB51" s="36"/>
      <c r="AIC51" s="36"/>
      <c r="AID51" s="36"/>
      <c r="AIE51" s="36"/>
      <c r="AIF51" s="36"/>
      <c r="AIG51" s="112"/>
      <c r="AIH51" s="36"/>
      <c r="AII51" s="36"/>
      <c r="AIJ51" s="36"/>
      <c r="AIK51" s="36"/>
      <c r="AIL51" s="36"/>
      <c r="AIM51" s="59"/>
      <c r="AIN51" s="36"/>
      <c r="AIO51" s="36"/>
      <c r="AIP51" s="36"/>
      <c r="AIQ51" s="36"/>
      <c r="AIR51" s="36"/>
      <c r="AIS51" s="112"/>
      <c r="AIT51" s="36"/>
      <c r="AIU51" s="36"/>
      <c r="AIV51" s="36"/>
      <c r="AIW51" s="36"/>
      <c r="AIX51" s="36"/>
      <c r="AIY51" s="59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73"/>
    </row>
    <row r="52" spans="1:1326" ht="20.100000000000001" customHeight="1" x14ac:dyDescent="0.25">
      <c r="A52" s="78" t="s">
        <v>27</v>
      </c>
      <c r="B52" s="51" t="str">
        <f>IF(LEN(C89)=0,"",C89)</f>
        <v/>
      </c>
      <c r="C52" s="164"/>
      <c r="D52" s="120" t="str">
        <f t="shared" si="0"/>
        <v>90h</v>
      </c>
      <c r="E52" s="22">
        <v>1080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73"/>
    </row>
    <row r="53" spans="1:1326" ht="20.100000000000001" customHeight="1" x14ac:dyDescent="0.25">
      <c r="A53" s="78" t="s">
        <v>26</v>
      </c>
      <c r="B53" s="51" t="str">
        <f>IF(LEN(C91)=0,"",C91)</f>
        <v/>
      </c>
      <c r="C53" s="163" t="s">
        <v>29</v>
      </c>
      <c r="D53" s="119" t="str">
        <f t="shared" si="0"/>
        <v>90h 55 min</v>
      </c>
      <c r="E53" s="26">
        <v>1091</v>
      </c>
      <c r="F53" s="211"/>
      <c r="G53" s="212"/>
      <c r="H53" s="212"/>
      <c r="I53" s="212"/>
      <c r="J53" s="212"/>
      <c r="K53" s="213"/>
      <c r="L53" s="212"/>
      <c r="M53" s="212"/>
      <c r="N53" s="212"/>
      <c r="O53" s="212"/>
      <c r="P53" s="212"/>
      <c r="Q53" s="214"/>
      <c r="R53" s="212"/>
      <c r="S53" s="212"/>
      <c r="T53" s="212"/>
      <c r="U53" s="212"/>
      <c r="V53" s="212"/>
      <c r="W53" s="215"/>
      <c r="X53" s="212"/>
      <c r="Y53" s="212"/>
      <c r="Z53" s="212"/>
      <c r="AA53" s="212"/>
      <c r="AB53" s="212"/>
      <c r="AC53" s="214"/>
      <c r="AD53" s="212"/>
      <c r="AE53" s="212"/>
      <c r="AF53" s="212"/>
      <c r="AG53" s="212"/>
      <c r="AH53" s="212"/>
      <c r="AI53" s="215"/>
      <c r="AJ53" s="212"/>
      <c r="AK53" s="212"/>
      <c r="AL53" s="212"/>
      <c r="AM53" s="212"/>
      <c r="AN53" s="212"/>
      <c r="AO53" s="214"/>
      <c r="AP53" s="212"/>
      <c r="AQ53" s="212"/>
      <c r="AR53" s="212"/>
      <c r="AS53" s="212"/>
      <c r="AT53" s="212"/>
      <c r="AU53" s="215"/>
      <c r="AV53" s="212"/>
      <c r="AW53" s="212"/>
      <c r="AX53" s="212"/>
      <c r="AY53" s="212"/>
      <c r="AZ53" s="212"/>
      <c r="BA53" s="214"/>
      <c r="BB53" s="212"/>
      <c r="BC53" s="212"/>
      <c r="BD53" s="212"/>
      <c r="BE53" s="212"/>
      <c r="BF53" s="212"/>
      <c r="BG53" s="215"/>
      <c r="BH53" s="212"/>
      <c r="BI53" s="212"/>
      <c r="BJ53" s="212"/>
      <c r="BK53" s="212"/>
      <c r="BL53" s="212"/>
      <c r="BM53" s="216"/>
      <c r="BN53" s="211"/>
      <c r="BO53" s="212"/>
      <c r="BP53" s="212"/>
      <c r="BQ53" s="212"/>
      <c r="BR53" s="212"/>
      <c r="BS53" s="213"/>
      <c r="BT53" s="212"/>
      <c r="BU53" s="212"/>
      <c r="BV53" s="212"/>
      <c r="BW53" s="212"/>
      <c r="BX53" s="212"/>
      <c r="BY53" s="214"/>
      <c r="BZ53" s="212"/>
      <c r="CA53" s="212"/>
      <c r="CB53" s="212"/>
      <c r="CC53" s="212"/>
      <c r="CD53" s="212"/>
      <c r="CE53" s="215"/>
      <c r="CF53" s="212"/>
      <c r="CG53" s="212"/>
      <c r="CH53" s="212"/>
      <c r="CI53" s="212"/>
      <c r="CJ53" s="212"/>
      <c r="CK53" s="214"/>
      <c r="CL53" s="212"/>
      <c r="CM53" s="226"/>
      <c r="CN53" s="226"/>
      <c r="CO53" s="212"/>
      <c r="CP53" s="212"/>
      <c r="CQ53" s="215"/>
      <c r="CR53" s="212"/>
      <c r="CS53" s="212"/>
      <c r="CT53" s="212"/>
      <c r="CU53" s="212"/>
      <c r="CV53" s="212"/>
      <c r="CW53" s="214"/>
      <c r="CX53" s="212"/>
      <c r="CY53" s="212"/>
      <c r="CZ53" s="212"/>
      <c r="DA53" s="212"/>
      <c r="DB53" s="212"/>
      <c r="DC53" s="215"/>
      <c r="DD53" s="212"/>
      <c r="DE53" s="212"/>
      <c r="DF53" s="212"/>
      <c r="DG53" s="212"/>
      <c r="DH53" s="212"/>
      <c r="DI53" s="214"/>
      <c r="DJ53" s="212"/>
      <c r="DK53" s="212"/>
      <c r="DL53" s="212"/>
      <c r="DM53" s="212"/>
      <c r="DN53" s="212"/>
      <c r="DO53" s="215"/>
      <c r="DP53" s="212"/>
      <c r="DQ53" s="212"/>
      <c r="DR53" s="212"/>
      <c r="DS53" s="212"/>
      <c r="DT53" s="212"/>
      <c r="DU53" s="216"/>
      <c r="DV53" s="211"/>
      <c r="DW53" s="212"/>
      <c r="DX53" s="212"/>
      <c r="DY53" s="212"/>
      <c r="DZ53" s="212"/>
      <c r="EA53" s="213"/>
      <c r="EB53" s="212"/>
      <c r="EC53" s="212"/>
      <c r="ED53" s="212"/>
      <c r="EE53" s="212"/>
      <c r="EF53" s="212"/>
      <c r="EG53" s="214"/>
      <c r="EH53" s="212"/>
      <c r="EI53" s="212"/>
      <c r="EJ53" s="212"/>
      <c r="EK53" s="212"/>
      <c r="EL53" s="212"/>
      <c r="EM53" s="215"/>
      <c r="EN53" s="212"/>
      <c r="EO53" s="212"/>
      <c r="EP53" s="212"/>
      <c r="EQ53" s="212"/>
      <c r="ER53" s="212"/>
      <c r="ES53" s="214"/>
      <c r="ET53" s="212"/>
      <c r="EU53" s="212"/>
      <c r="EV53" s="212"/>
      <c r="EW53" s="212"/>
      <c r="EX53" s="212"/>
      <c r="EY53" s="215"/>
      <c r="EZ53" s="212"/>
      <c r="FA53" s="212"/>
      <c r="FB53" s="212"/>
      <c r="FC53" s="212"/>
      <c r="FD53" s="212"/>
      <c r="FE53" s="214"/>
      <c r="FF53" s="212"/>
      <c r="FG53" s="212"/>
      <c r="FH53" s="212"/>
      <c r="FI53" s="212"/>
      <c r="FJ53" s="212"/>
      <c r="FK53" s="215"/>
      <c r="FL53" s="212"/>
      <c r="FM53" s="212"/>
      <c r="FN53" s="212"/>
      <c r="FO53" s="212"/>
      <c r="FP53" s="212"/>
      <c r="FQ53" s="214"/>
      <c r="FR53" s="212"/>
      <c r="FS53" s="212"/>
      <c r="FT53" s="212"/>
      <c r="FU53" s="212"/>
      <c r="FV53" s="212"/>
      <c r="FW53" s="215"/>
      <c r="FX53" s="212"/>
      <c r="FY53" s="212"/>
      <c r="FZ53" s="212"/>
      <c r="GA53" s="212"/>
      <c r="GB53" s="212"/>
      <c r="GC53" s="216"/>
      <c r="GD53" s="211"/>
      <c r="GE53" s="212"/>
      <c r="GF53" s="212"/>
      <c r="GG53" s="212"/>
      <c r="GH53" s="212"/>
      <c r="GI53" s="213"/>
      <c r="GJ53" s="212"/>
      <c r="GK53" s="212"/>
      <c r="GL53" s="212"/>
      <c r="GM53" s="212"/>
      <c r="GN53" s="212"/>
      <c r="GO53" s="214"/>
      <c r="GP53" s="212"/>
      <c r="GQ53" s="212"/>
      <c r="GR53" s="212"/>
      <c r="GS53" s="212"/>
      <c r="GT53" s="212"/>
      <c r="GU53" s="215"/>
      <c r="GV53" s="212"/>
      <c r="GW53" s="212"/>
      <c r="GX53" s="212"/>
      <c r="GY53" s="212"/>
      <c r="GZ53" s="212"/>
      <c r="HA53" s="214"/>
      <c r="HB53" s="212"/>
      <c r="HC53" s="212"/>
      <c r="HD53" s="212"/>
      <c r="HE53" s="212"/>
      <c r="HF53" s="212"/>
      <c r="HG53" s="215"/>
      <c r="HH53" s="212"/>
      <c r="HI53" s="212"/>
      <c r="HJ53" s="212"/>
      <c r="HK53" s="226"/>
      <c r="HL53" s="226"/>
      <c r="HM53" s="227"/>
      <c r="HN53" s="212"/>
      <c r="HO53" s="212"/>
      <c r="HP53" s="212"/>
      <c r="HQ53" s="212"/>
      <c r="HR53" s="212"/>
      <c r="HS53" s="215"/>
      <c r="HT53" s="212"/>
      <c r="HU53" s="212"/>
      <c r="HV53" s="212"/>
      <c r="HW53" s="212"/>
      <c r="HX53" s="212"/>
      <c r="HY53" s="214"/>
      <c r="HZ53" s="212"/>
      <c r="IA53" s="212"/>
      <c r="IB53" s="212"/>
      <c r="IC53" s="212"/>
      <c r="ID53" s="212"/>
      <c r="IE53" s="215"/>
      <c r="IF53" s="212"/>
      <c r="IG53" s="212"/>
      <c r="IH53" s="212"/>
      <c r="II53" s="212"/>
      <c r="IJ53" s="212"/>
      <c r="IK53" s="216"/>
      <c r="IL53" s="211"/>
      <c r="IM53" s="212"/>
      <c r="IN53" s="212"/>
      <c r="IO53" s="212"/>
      <c r="IP53" s="212"/>
      <c r="IQ53" s="213"/>
      <c r="IR53" s="212"/>
      <c r="IS53" s="212"/>
      <c r="IT53" s="212"/>
      <c r="IU53" s="212"/>
      <c r="IV53" s="212"/>
      <c r="IW53" s="214"/>
      <c r="IX53" s="212"/>
      <c r="IY53" s="212"/>
      <c r="IZ53" s="212"/>
      <c r="JA53" s="212"/>
      <c r="JB53" s="212"/>
      <c r="JC53" s="215"/>
      <c r="JD53" s="212"/>
      <c r="JE53" s="212"/>
      <c r="JF53" s="212"/>
      <c r="JG53" s="212"/>
      <c r="JH53" s="212"/>
      <c r="JI53" s="214"/>
      <c r="JJ53" s="212"/>
      <c r="JK53" s="212"/>
      <c r="JL53" s="212"/>
      <c r="JM53" s="212"/>
      <c r="JN53" s="212"/>
      <c r="JO53" s="215"/>
      <c r="JP53" s="212"/>
      <c r="JQ53" s="212"/>
      <c r="JR53" s="212"/>
      <c r="JS53" s="212"/>
      <c r="JT53" s="212"/>
      <c r="JU53" s="214"/>
      <c r="JV53" s="212"/>
      <c r="JW53" s="212"/>
      <c r="JX53" s="212"/>
      <c r="JY53" s="212"/>
      <c r="JZ53" s="212"/>
      <c r="KA53" s="215"/>
      <c r="KB53" s="212"/>
      <c r="KC53" s="212"/>
      <c r="KD53" s="212"/>
      <c r="KE53" s="212"/>
      <c r="KF53" s="212"/>
      <c r="KG53" s="214"/>
      <c r="KH53" s="212"/>
      <c r="KI53" s="212"/>
      <c r="KJ53" s="212"/>
      <c r="KK53" s="212"/>
      <c r="KL53" s="212"/>
      <c r="KM53" s="215"/>
      <c r="KN53" s="212"/>
      <c r="KO53" s="212"/>
      <c r="KP53" s="212"/>
      <c r="KQ53" s="212"/>
      <c r="KR53" s="212"/>
      <c r="KS53" s="216"/>
      <c r="KT53" s="211"/>
      <c r="KU53" s="212"/>
      <c r="KV53" s="212"/>
      <c r="KW53" s="212"/>
      <c r="KX53" s="212"/>
      <c r="KY53" s="213"/>
      <c r="KZ53" s="212"/>
      <c r="LA53" s="212"/>
      <c r="LB53" s="212"/>
      <c r="LC53" s="212"/>
      <c r="LD53" s="212"/>
      <c r="LE53" s="214"/>
      <c r="LF53" s="212"/>
      <c r="LG53" s="212"/>
      <c r="LH53" s="212"/>
      <c r="LI53" s="212"/>
      <c r="LJ53" s="212"/>
      <c r="LK53" s="215"/>
      <c r="LL53" s="212"/>
      <c r="LM53" s="212"/>
      <c r="LN53" s="212"/>
      <c r="LO53" s="212"/>
      <c r="LP53" s="212"/>
      <c r="LQ53" s="214"/>
      <c r="LR53" s="212"/>
      <c r="LS53" s="212"/>
      <c r="LT53" s="212"/>
      <c r="LU53" s="212"/>
      <c r="LV53" s="212"/>
      <c r="LW53" s="215"/>
      <c r="LX53" s="212"/>
      <c r="LY53" s="212"/>
      <c r="LZ53" s="212"/>
      <c r="MA53" s="226"/>
      <c r="MB53" s="226"/>
      <c r="MC53" s="227"/>
      <c r="MD53" s="212"/>
      <c r="ME53" s="212"/>
      <c r="MF53" s="212"/>
      <c r="MG53" s="212"/>
      <c r="MH53" s="212"/>
      <c r="MI53" s="215"/>
      <c r="MJ53" s="212"/>
      <c r="MK53" s="212"/>
      <c r="ML53" s="212"/>
      <c r="MM53" s="212"/>
      <c r="MN53" s="212"/>
      <c r="MO53" s="214"/>
      <c r="MP53" s="212"/>
      <c r="MQ53" s="212"/>
      <c r="MR53" s="212"/>
      <c r="MS53" s="212"/>
      <c r="MT53" s="212"/>
      <c r="MU53" s="215"/>
      <c r="MV53" s="212"/>
      <c r="MW53" s="212"/>
      <c r="MX53" s="212"/>
      <c r="MY53" s="212"/>
      <c r="MZ53" s="212"/>
      <c r="NA53" s="216"/>
      <c r="NB53" s="211"/>
      <c r="NC53" s="212"/>
      <c r="ND53" s="212"/>
      <c r="NE53" s="212"/>
      <c r="NF53" s="212"/>
      <c r="NG53" s="213"/>
      <c r="NH53" s="212"/>
      <c r="NI53" s="212"/>
      <c r="NJ53" s="212"/>
      <c r="NK53" s="212"/>
      <c r="NL53" s="212"/>
      <c r="NM53" s="214"/>
      <c r="NN53" s="212"/>
      <c r="NO53" s="212"/>
      <c r="NP53" s="212"/>
      <c r="NQ53" s="212"/>
      <c r="NR53" s="212"/>
      <c r="NS53" s="215"/>
      <c r="NT53" s="212"/>
      <c r="NU53" s="212"/>
      <c r="NV53" s="212"/>
      <c r="NW53" s="212"/>
      <c r="NX53" s="212"/>
      <c r="NY53" s="214"/>
      <c r="NZ53" s="212"/>
      <c r="OA53" s="212"/>
      <c r="OB53" s="212"/>
      <c r="OC53" s="212"/>
      <c r="OD53" s="212"/>
      <c r="OE53" s="215"/>
      <c r="OF53" s="212"/>
      <c r="OG53" s="212"/>
      <c r="OH53" s="212"/>
      <c r="OI53" s="212"/>
      <c r="OJ53" s="212"/>
      <c r="OK53" s="214"/>
      <c r="OL53" s="212"/>
      <c r="OM53" s="212"/>
      <c r="ON53" s="212"/>
      <c r="OO53" s="212"/>
      <c r="OP53" s="212"/>
      <c r="OQ53" s="215"/>
      <c r="OR53" s="212"/>
      <c r="OS53" s="212"/>
      <c r="OT53" s="212"/>
      <c r="OU53" s="212"/>
      <c r="OV53" s="212"/>
      <c r="OW53" s="214"/>
      <c r="OX53" s="212"/>
      <c r="OY53" s="212"/>
      <c r="OZ53" s="212"/>
      <c r="PA53" s="212"/>
      <c r="PB53" s="212"/>
      <c r="PC53" s="215"/>
      <c r="PD53" s="212"/>
      <c r="PE53" s="212"/>
      <c r="PF53" s="212"/>
      <c r="PG53" s="212"/>
      <c r="PH53" s="212"/>
      <c r="PI53" s="216"/>
      <c r="PJ53" s="211"/>
      <c r="PK53" s="212"/>
      <c r="PL53" s="212"/>
      <c r="PM53" s="212"/>
      <c r="PN53" s="212"/>
      <c r="PO53" s="213"/>
      <c r="PP53" s="212"/>
      <c r="PQ53" s="212"/>
      <c r="PR53" s="212"/>
      <c r="PS53" s="212"/>
      <c r="PT53" s="212"/>
      <c r="PU53" s="214"/>
      <c r="PV53" s="212"/>
      <c r="PW53" s="212"/>
      <c r="PX53" s="212"/>
      <c r="PY53" s="212"/>
      <c r="PZ53" s="212"/>
      <c r="QA53" s="215"/>
      <c r="QB53" s="212"/>
      <c r="QC53" s="212"/>
      <c r="QD53" s="212"/>
      <c r="QE53" s="212"/>
      <c r="QF53" s="212"/>
      <c r="QG53" s="214"/>
      <c r="QH53" s="212"/>
      <c r="QI53" s="212"/>
      <c r="QJ53" s="212"/>
      <c r="QK53" s="212"/>
      <c r="QL53" s="212"/>
      <c r="QM53" s="215"/>
      <c r="QN53" s="212"/>
      <c r="QO53" s="212"/>
      <c r="QP53" s="212"/>
      <c r="QQ53" s="226"/>
      <c r="QR53" s="226"/>
      <c r="QS53" s="227"/>
      <c r="QT53" s="212"/>
      <c r="QU53" s="212"/>
      <c r="QV53" s="212"/>
      <c r="QW53" s="212"/>
      <c r="QX53" s="212"/>
      <c r="QY53" s="215"/>
      <c r="QZ53" s="212"/>
      <c r="RA53" s="212"/>
      <c r="RB53" s="212"/>
      <c r="RC53" s="212"/>
      <c r="RD53" s="212"/>
      <c r="RE53" s="214"/>
      <c r="RF53" s="212"/>
      <c r="RG53" s="212"/>
      <c r="RH53" s="212"/>
      <c r="RI53" s="212"/>
      <c r="RJ53" s="212"/>
      <c r="RK53" s="215"/>
      <c r="RL53" s="212"/>
      <c r="RM53" s="212"/>
      <c r="RN53" s="212"/>
      <c r="RO53" s="212"/>
      <c r="RP53" s="212"/>
      <c r="RQ53" s="216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05"/>
      <c r="ARH53" s="28"/>
      <c r="ARI53" s="28"/>
      <c r="ARJ53" s="28"/>
      <c r="ARK53" s="28"/>
      <c r="ARL53" s="28"/>
      <c r="ARM53" s="110"/>
      <c r="ARN53" s="28"/>
      <c r="ARO53" s="28"/>
      <c r="ARP53" s="28"/>
      <c r="ARQ53" s="28"/>
      <c r="ARR53" s="28"/>
      <c r="ARS53" s="57"/>
      <c r="ART53" s="28"/>
      <c r="ARU53" s="28"/>
      <c r="ARV53" s="28"/>
      <c r="ARW53" s="28"/>
      <c r="ARX53" s="28"/>
      <c r="ARY53" s="110"/>
      <c r="ARZ53" s="28"/>
      <c r="ASA53" s="28"/>
      <c r="ASB53" s="28"/>
      <c r="ASC53" s="28"/>
      <c r="ASD53" s="28"/>
      <c r="ASE53" s="57"/>
      <c r="ASF53" s="28"/>
      <c r="ASG53" s="28"/>
      <c r="ASH53" s="28"/>
      <c r="ASI53" s="28"/>
      <c r="ASJ53" s="28"/>
      <c r="ASK53" s="110"/>
      <c r="ASL53" s="28"/>
      <c r="ASM53" s="2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05"/>
      <c r="ATP53" s="28"/>
      <c r="ATQ53" s="28"/>
      <c r="ATR53" s="28"/>
      <c r="ATS53" s="28"/>
      <c r="ATT53" s="28"/>
      <c r="ATU53" s="110"/>
      <c r="ATV53" s="28"/>
      <c r="ATW53" s="28"/>
      <c r="ATX53" s="28"/>
      <c r="ATY53" s="28"/>
      <c r="ATZ53" s="28"/>
      <c r="AUA53" s="57"/>
      <c r="AUB53" s="28"/>
      <c r="AUC53" s="28"/>
      <c r="AUD53" s="28"/>
      <c r="AUE53" s="28"/>
      <c r="AUF53" s="28"/>
      <c r="AUG53" s="110"/>
      <c r="AUH53" s="28"/>
      <c r="AUI53" s="28"/>
      <c r="AUJ53" s="28"/>
      <c r="AUK53" s="28"/>
      <c r="AUL53" s="2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05"/>
      <c r="AVX53" s="28"/>
      <c r="AVY53" s="28"/>
      <c r="AVZ53" s="28"/>
      <c r="AWA53" s="28"/>
      <c r="AWB53" s="28"/>
      <c r="AWC53" s="110"/>
      <c r="AWD53" s="28"/>
      <c r="AWE53" s="28"/>
      <c r="AWF53" s="28"/>
      <c r="AWG53" s="28"/>
      <c r="AWH53" s="28"/>
      <c r="AWI53" s="57"/>
      <c r="AWJ53" s="28"/>
      <c r="AWK53" s="28"/>
      <c r="AWL53" s="28"/>
      <c r="AWM53" s="28"/>
      <c r="AWN53" s="28"/>
      <c r="AWO53" s="110"/>
      <c r="AWP53" s="28"/>
      <c r="AWQ53" s="28"/>
      <c r="AWR53" s="28"/>
      <c r="AWS53" s="28"/>
      <c r="AWT53" s="28"/>
      <c r="AWU53" s="57"/>
      <c r="AWV53" s="28"/>
      <c r="AWW53" s="28"/>
      <c r="AWX53" s="28"/>
      <c r="AWY53" s="28"/>
      <c r="AWZ53" s="28"/>
      <c r="AXA53" s="110"/>
      <c r="AXB53" s="28"/>
      <c r="AXC53" s="28"/>
      <c r="AXD53" s="28"/>
      <c r="AXE53" s="28"/>
      <c r="AXF53" s="28"/>
      <c r="AXG53" s="57"/>
      <c r="AXH53" s="28"/>
      <c r="AXI53" s="28"/>
      <c r="AXJ53" s="28"/>
      <c r="AXK53" s="28"/>
      <c r="AXL53" s="28"/>
      <c r="AXM53" s="110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73"/>
    </row>
    <row r="54" spans="1:1326" ht="20.100000000000001" customHeight="1" x14ac:dyDescent="0.3">
      <c r="A54" s="78" t="s">
        <v>27</v>
      </c>
      <c r="B54" s="51" t="str">
        <f>IF(LEN(C93)=0,"",C93)</f>
        <v/>
      </c>
      <c r="C54" s="169"/>
      <c r="D54" s="121" t="str">
        <f t="shared" si="0"/>
        <v>90h</v>
      </c>
      <c r="E54" s="30">
        <v>1080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73"/>
    </row>
    <row r="55" spans="1:1326" ht="20.100000000000001" customHeight="1" x14ac:dyDescent="0.25">
      <c r="A55" s="78" t="s">
        <v>26</v>
      </c>
      <c r="B55" s="51"/>
      <c r="C55" s="163" t="s">
        <v>30</v>
      </c>
      <c r="D55" s="119" t="str">
        <f t="shared" si="0"/>
        <v>92h 40 min</v>
      </c>
      <c r="E55" s="34">
        <v>1112</v>
      </c>
      <c r="F55" s="217"/>
      <c r="G55" s="218"/>
      <c r="H55" s="218"/>
      <c r="I55" s="218"/>
      <c r="J55" s="218"/>
      <c r="K55" s="219"/>
      <c r="L55" s="218"/>
      <c r="M55" s="218"/>
      <c r="N55" s="218"/>
      <c r="O55" s="218"/>
      <c r="P55" s="218"/>
      <c r="Q55" s="220"/>
      <c r="R55" s="218"/>
      <c r="S55" s="218"/>
      <c r="T55" s="218"/>
      <c r="U55" s="218"/>
      <c r="V55" s="218"/>
      <c r="W55" s="221"/>
      <c r="X55" s="218"/>
      <c r="Y55" s="218"/>
      <c r="Z55" s="218"/>
      <c r="AA55" s="218"/>
      <c r="AB55" s="218"/>
      <c r="AC55" s="220"/>
      <c r="AD55" s="218"/>
      <c r="AE55" s="218"/>
      <c r="AF55" s="218"/>
      <c r="AG55" s="218"/>
      <c r="AH55" s="218"/>
      <c r="AI55" s="221"/>
      <c r="AJ55" s="218"/>
      <c r="AK55" s="218"/>
      <c r="AL55" s="218"/>
      <c r="AM55" s="218"/>
      <c r="AN55" s="218"/>
      <c r="AO55" s="220"/>
      <c r="AP55" s="218"/>
      <c r="AQ55" s="218"/>
      <c r="AR55" s="218"/>
      <c r="AS55" s="218"/>
      <c r="AT55" s="218"/>
      <c r="AU55" s="221"/>
      <c r="AV55" s="218"/>
      <c r="AW55" s="218"/>
      <c r="AX55" s="218"/>
      <c r="AY55" s="218"/>
      <c r="AZ55" s="218"/>
      <c r="BA55" s="220"/>
      <c r="BB55" s="218"/>
      <c r="BC55" s="218"/>
      <c r="BD55" s="218"/>
      <c r="BE55" s="218"/>
      <c r="BF55" s="218"/>
      <c r="BG55" s="221"/>
      <c r="BH55" s="218"/>
      <c r="BI55" s="218"/>
      <c r="BJ55" s="218"/>
      <c r="BK55" s="218"/>
      <c r="BL55" s="218"/>
      <c r="BM55" s="222"/>
      <c r="BN55" s="217"/>
      <c r="BO55" s="218"/>
      <c r="BP55" s="218"/>
      <c r="BQ55" s="218"/>
      <c r="BR55" s="218"/>
      <c r="BS55" s="219"/>
      <c r="BT55" s="218"/>
      <c r="BU55" s="218"/>
      <c r="BV55" s="218"/>
      <c r="BW55" s="218"/>
      <c r="BX55" s="218"/>
      <c r="BY55" s="220"/>
      <c r="BZ55" s="218"/>
      <c r="CA55" s="218"/>
      <c r="CB55" s="218"/>
      <c r="CC55" s="218"/>
      <c r="CD55" s="218"/>
      <c r="CE55" s="221"/>
      <c r="CF55" s="218"/>
      <c r="CG55" s="218"/>
      <c r="CH55" s="218"/>
      <c r="CI55" s="218"/>
      <c r="CJ55" s="218"/>
      <c r="CK55" s="220"/>
      <c r="CL55" s="218"/>
      <c r="CM55" s="218"/>
      <c r="CN55" s="218"/>
      <c r="CO55" s="218"/>
      <c r="CP55" s="218"/>
      <c r="CQ55" s="221"/>
      <c r="CR55" s="218"/>
      <c r="CS55" s="218"/>
      <c r="CT55" s="218"/>
      <c r="CU55" s="218"/>
      <c r="CV55" s="218"/>
      <c r="CW55" s="220"/>
      <c r="CX55" s="218"/>
      <c r="CY55" s="218"/>
      <c r="CZ55" s="218"/>
      <c r="DA55" s="218"/>
      <c r="DB55" s="218"/>
      <c r="DC55" s="221"/>
      <c r="DD55" s="218"/>
      <c r="DE55" s="218"/>
      <c r="DF55" s="218"/>
      <c r="DG55" s="218"/>
      <c r="DH55" s="218"/>
      <c r="DI55" s="220"/>
      <c r="DJ55" s="218"/>
      <c r="DK55" s="218"/>
      <c r="DL55" s="218"/>
      <c r="DM55" s="218"/>
      <c r="DN55" s="218"/>
      <c r="DO55" s="221"/>
      <c r="DP55" s="218"/>
      <c r="DQ55" s="218"/>
      <c r="DR55" s="218"/>
      <c r="DS55" s="218"/>
      <c r="DT55" s="218"/>
      <c r="DU55" s="222"/>
      <c r="DV55" s="223"/>
      <c r="DW55" s="224"/>
      <c r="DX55" s="224"/>
      <c r="DY55" s="224"/>
      <c r="DZ55" s="224"/>
      <c r="EA55" s="225"/>
      <c r="EB55" s="224"/>
      <c r="EC55" s="224"/>
      <c r="ED55" s="224"/>
      <c r="EE55" s="224"/>
      <c r="EF55" s="224"/>
      <c r="EG55" s="229"/>
      <c r="EH55" s="218"/>
      <c r="EI55" s="218"/>
      <c r="EJ55" s="218"/>
      <c r="EK55" s="218"/>
      <c r="EL55" s="218"/>
      <c r="EM55" s="221"/>
      <c r="EN55" s="218"/>
      <c r="EO55" s="218"/>
      <c r="EP55" s="218"/>
      <c r="EQ55" s="218"/>
      <c r="ER55" s="218"/>
      <c r="ES55" s="220"/>
      <c r="ET55" s="218"/>
      <c r="EU55" s="218"/>
      <c r="EV55" s="218"/>
      <c r="EW55" s="218"/>
      <c r="EX55" s="218"/>
      <c r="EY55" s="221"/>
      <c r="EZ55" s="218"/>
      <c r="FA55" s="218"/>
      <c r="FB55" s="218"/>
      <c r="FC55" s="218"/>
      <c r="FD55" s="218"/>
      <c r="FE55" s="220"/>
      <c r="FF55" s="218"/>
      <c r="FG55" s="218"/>
      <c r="FH55" s="218"/>
      <c r="FI55" s="218"/>
      <c r="FJ55" s="218"/>
      <c r="FK55" s="221"/>
      <c r="FL55" s="218"/>
      <c r="FM55" s="218"/>
      <c r="FN55" s="218"/>
      <c r="FO55" s="218"/>
      <c r="FP55" s="218"/>
      <c r="FQ55" s="220"/>
      <c r="FR55" s="218"/>
      <c r="FS55" s="218"/>
      <c r="FT55" s="218"/>
      <c r="FU55" s="218"/>
      <c r="FV55" s="218"/>
      <c r="FW55" s="221"/>
      <c r="FX55" s="218"/>
      <c r="FY55" s="218"/>
      <c r="FZ55" s="218"/>
      <c r="GA55" s="218"/>
      <c r="GB55" s="218"/>
      <c r="GC55" s="222"/>
      <c r="GD55" s="217"/>
      <c r="GE55" s="218"/>
      <c r="GF55" s="218"/>
      <c r="GG55" s="218"/>
      <c r="GH55" s="218"/>
      <c r="GI55" s="219"/>
      <c r="GJ55" s="218"/>
      <c r="GK55" s="218"/>
      <c r="GL55" s="218"/>
      <c r="GM55" s="218"/>
      <c r="GN55" s="218"/>
      <c r="GO55" s="220"/>
      <c r="GP55" s="218"/>
      <c r="GQ55" s="218"/>
      <c r="GR55" s="218"/>
      <c r="GS55" s="218"/>
      <c r="GT55" s="218"/>
      <c r="GU55" s="221"/>
      <c r="GV55" s="218"/>
      <c r="GW55" s="218"/>
      <c r="GX55" s="218"/>
      <c r="GY55" s="218"/>
      <c r="GZ55" s="218"/>
      <c r="HA55" s="220"/>
      <c r="HB55" s="218"/>
      <c r="HC55" s="218"/>
      <c r="HD55" s="218"/>
      <c r="HE55" s="218"/>
      <c r="HF55" s="218"/>
      <c r="HG55" s="221"/>
      <c r="HH55" s="218"/>
      <c r="HI55" s="218"/>
      <c r="HJ55" s="218"/>
      <c r="HK55" s="218"/>
      <c r="HL55" s="218"/>
      <c r="HM55" s="220"/>
      <c r="HN55" s="218"/>
      <c r="HO55" s="218"/>
      <c r="HP55" s="218"/>
      <c r="HQ55" s="218"/>
      <c r="HR55" s="218"/>
      <c r="HS55" s="221"/>
      <c r="HT55" s="218"/>
      <c r="HU55" s="218"/>
      <c r="HV55" s="218"/>
      <c r="HW55" s="218"/>
      <c r="HX55" s="218"/>
      <c r="HY55" s="220"/>
      <c r="HZ55" s="218"/>
      <c r="IA55" s="218"/>
      <c r="IB55" s="218"/>
      <c r="IC55" s="218"/>
      <c r="ID55" s="218"/>
      <c r="IE55" s="221"/>
      <c r="IF55" s="218"/>
      <c r="IG55" s="218"/>
      <c r="IH55" s="218"/>
      <c r="II55" s="218"/>
      <c r="IJ55" s="218"/>
      <c r="IK55" s="222"/>
      <c r="IL55" s="223"/>
      <c r="IM55" s="224"/>
      <c r="IN55" s="224"/>
      <c r="IO55" s="224"/>
      <c r="IP55" s="224"/>
      <c r="IQ55" s="225"/>
      <c r="IR55" s="224"/>
      <c r="IS55" s="224"/>
      <c r="IT55" s="224"/>
      <c r="IU55" s="224"/>
      <c r="IV55" s="218"/>
      <c r="IW55" s="220"/>
      <c r="IX55" s="218"/>
      <c r="IY55" s="218"/>
      <c r="IZ55" s="218"/>
      <c r="JA55" s="218"/>
      <c r="JB55" s="218"/>
      <c r="JC55" s="221"/>
      <c r="JD55" s="218"/>
      <c r="JE55" s="218"/>
      <c r="JF55" s="218"/>
      <c r="JG55" s="218"/>
      <c r="JH55" s="218"/>
      <c r="JI55" s="220"/>
      <c r="JJ55" s="218"/>
      <c r="JK55" s="218"/>
      <c r="JL55" s="218"/>
      <c r="JM55" s="218"/>
      <c r="JN55" s="218"/>
      <c r="JO55" s="221"/>
      <c r="JP55" s="218"/>
      <c r="JQ55" s="218"/>
      <c r="JR55" s="218"/>
      <c r="JS55" s="218"/>
      <c r="JT55" s="218"/>
      <c r="JU55" s="220"/>
      <c r="JV55" s="218"/>
      <c r="JW55" s="218"/>
      <c r="JX55" s="218"/>
      <c r="JY55" s="218"/>
      <c r="JZ55" s="218"/>
      <c r="KA55" s="221"/>
      <c r="KB55" s="218"/>
      <c r="KC55" s="218"/>
      <c r="KD55" s="218"/>
      <c r="KE55" s="218"/>
      <c r="KF55" s="218"/>
      <c r="KG55" s="220"/>
      <c r="KH55" s="218"/>
      <c r="KI55" s="218"/>
      <c r="KJ55" s="218"/>
      <c r="KK55" s="218"/>
      <c r="KL55" s="218"/>
      <c r="KM55" s="221"/>
      <c r="KN55" s="218"/>
      <c r="KO55" s="218"/>
      <c r="KP55" s="218"/>
      <c r="KQ55" s="218"/>
      <c r="KR55" s="218"/>
      <c r="KS55" s="222"/>
      <c r="KT55" s="217"/>
      <c r="KU55" s="218"/>
      <c r="KV55" s="218"/>
      <c r="KW55" s="218"/>
      <c r="KX55" s="218"/>
      <c r="KY55" s="219"/>
      <c r="KZ55" s="218"/>
      <c r="LA55" s="218"/>
      <c r="LB55" s="218"/>
      <c r="LC55" s="218"/>
      <c r="LD55" s="218"/>
      <c r="LE55" s="220"/>
      <c r="LF55" s="218"/>
      <c r="LG55" s="218"/>
      <c r="LH55" s="218"/>
      <c r="LI55" s="218"/>
      <c r="LJ55" s="218"/>
      <c r="LK55" s="221"/>
      <c r="LL55" s="218"/>
      <c r="LM55" s="218"/>
      <c r="LN55" s="218"/>
      <c r="LO55" s="218"/>
      <c r="LP55" s="218"/>
      <c r="LQ55" s="220"/>
      <c r="LR55" s="218"/>
      <c r="LS55" s="218"/>
      <c r="LT55" s="218"/>
      <c r="LU55" s="218"/>
      <c r="LV55" s="218"/>
      <c r="LW55" s="221"/>
      <c r="LX55" s="218"/>
      <c r="LY55" s="218"/>
      <c r="LZ55" s="218"/>
      <c r="MA55" s="218"/>
      <c r="MB55" s="218"/>
      <c r="MC55" s="220"/>
      <c r="MD55" s="218"/>
      <c r="ME55" s="218"/>
      <c r="MF55" s="218"/>
      <c r="MG55" s="218"/>
      <c r="MH55" s="218"/>
      <c r="MI55" s="221"/>
      <c r="MJ55" s="218"/>
      <c r="MK55" s="218"/>
      <c r="ML55" s="218"/>
      <c r="MM55" s="218"/>
      <c r="MN55" s="218"/>
      <c r="MO55" s="220"/>
      <c r="MP55" s="218"/>
      <c r="MQ55" s="218"/>
      <c r="MR55" s="218"/>
      <c r="MS55" s="218"/>
      <c r="MT55" s="218"/>
      <c r="MU55" s="221"/>
      <c r="MV55" s="218"/>
      <c r="MW55" s="218"/>
      <c r="MX55" s="218"/>
      <c r="MY55" s="218"/>
      <c r="MZ55" s="218"/>
      <c r="NA55" s="222"/>
      <c r="NB55" s="217"/>
      <c r="NC55" s="218"/>
      <c r="ND55" s="218"/>
      <c r="NE55" s="218"/>
      <c r="NF55" s="218"/>
      <c r="NG55" s="219"/>
      <c r="NH55" s="218"/>
      <c r="NI55" s="218"/>
      <c r="NJ55" s="218"/>
      <c r="NK55" s="218"/>
      <c r="NL55" s="218"/>
      <c r="NM55" s="220"/>
      <c r="NN55" s="218"/>
      <c r="NO55" s="218"/>
      <c r="NP55" s="218"/>
      <c r="NQ55" s="218"/>
      <c r="NR55" s="218"/>
      <c r="NS55" s="221"/>
      <c r="NT55" s="218"/>
      <c r="NU55" s="218"/>
      <c r="NV55" s="218"/>
      <c r="NW55" s="218"/>
      <c r="NX55" s="218"/>
      <c r="NY55" s="220"/>
      <c r="NZ55" s="218"/>
      <c r="OA55" s="218"/>
      <c r="OB55" s="218"/>
      <c r="OC55" s="218"/>
      <c r="OD55" s="218"/>
      <c r="OE55" s="221"/>
      <c r="OF55" s="218"/>
      <c r="OG55" s="218"/>
      <c r="OH55" s="218"/>
      <c r="OI55" s="218"/>
      <c r="OJ55" s="218"/>
      <c r="OK55" s="220"/>
      <c r="OL55" s="218"/>
      <c r="OM55" s="218"/>
      <c r="ON55" s="218"/>
      <c r="OO55" s="218"/>
      <c r="OP55" s="218"/>
      <c r="OQ55" s="221"/>
      <c r="OR55" s="218"/>
      <c r="OS55" s="218"/>
      <c r="OT55" s="218"/>
      <c r="OU55" s="218"/>
      <c r="OV55" s="218"/>
      <c r="OW55" s="220"/>
      <c r="OX55" s="218"/>
      <c r="OY55" s="218"/>
      <c r="OZ55" s="218"/>
      <c r="PA55" s="218"/>
      <c r="PB55" s="218"/>
      <c r="PC55" s="221"/>
      <c r="PD55" s="218"/>
      <c r="PE55" s="218"/>
      <c r="PF55" s="218"/>
      <c r="PG55" s="218"/>
      <c r="PH55" s="218"/>
      <c r="PI55" s="222"/>
      <c r="PJ55" s="217"/>
      <c r="PK55" s="218"/>
      <c r="PL55" s="218"/>
      <c r="PM55" s="218"/>
      <c r="PN55" s="218"/>
      <c r="PO55" s="219"/>
      <c r="PP55" s="218"/>
      <c r="PQ55" s="218"/>
      <c r="PR55" s="218"/>
      <c r="PS55" s="218"/>
      <c r="PT55" s="218"/>
      <c r="PU55" s="220"/>
      <c r="PV55" s="218"/>
      <c r="PW55" s="218"/>
      <c r="PX55" s="218"/>
      <c r="PY55" s="218"/>
      <c r="PZ55" s="218"/>
      <c r="QA55" s="221"/>
      <c r="QB55" s="218"/>
      <c r="QC55" s="218"/>
      <c r="QD55" s="218"/>
      <c r="QE55" s="218"/>
      <c r="QF55" s="218"/>
      <c r="QG55" s="229"/>
      <c r="QH55" s="224"/>
      <c r="QI55" s="224"/>
      <c r="QJ55" s="224"/>
      <c r="QK55" s="224"/>
      <c r="QL55" s="224"/>
      <c r="QM55" s="230"/>
      <c r="QN55" s="224"/>
      <c r="QO55" s="224"/>
      <c r="QP55" s="224"/>
      <c r="QQ55" s="218"/>
      <c r="QR55" s="218"/>
      <c r="QS55" s="220"/>
      <c r="QT55" s="218"/>
      <c r="QU55" s="218"/>
      <c r="QV55" s="218"/>
      <c r="QW55" s="218"/>
      <c r="QX55" s="218"/>
      <c r="QY55" s="221"/>
      <c r="QZ55" s="218"/>
      <c r="RA55" s="218"/>
      <c r="RB55" s="218"/>
      <c r="RC55" s="218"/>
      <c r="RD55" s="218"/>
      <c r="RE55" s="220"/>
      <c r="RF55" s="218"/>
      <c r="RG55" s="218"/>
      <c r="RH55" s="218"/>
      <c r="RI55" s="218"/>
      <c r="RJ55" s="218"/>
      <c r="RK55" s="221"/>
      <c r="RL55" s="218"/>
      <c r="RM55" s="218"/>
      <c r="RN55" s="218"/>
      <c r="RO55" s="218"/>
      <c r="RP55" s="218"/>
      <c r="RQ55" s="222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36"/>
      <c r="ABQ55" s="36"/>
      <c r="ABR55" s="36"/>
      <c r="ABS55" s="36"/>
      <c r="ABT55" s="36"/>
      <c r="ABU55" s="112"/>
      <c r="ABV55" s="36"/>
      <c r="ABW55" s="36"/>
      <c r="ABX55" s="36"/>
      <c r="ABY55" s="36"/>
      <c r="ABZ55" s="36"/>
      <c r="ACA55" s="59"/>
      <c r="ACB55" s="36"/>
      <c r="ACC55" s="36"/>
      <c r="ACD55" s="36"/>
      <c r="ACE55" s="36"/>
      <c r="ACF55" s="36"/>
      <c r="ACG55" s="112"/>
      <c r="ACH55" s="36"/>
      <c r="ACI55" s="36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07"/>
      <c r="ADL55" s="36"/>
      <c r="ADM55" s="36"/>
      <c r="ADN55" s="36"/>
      <c r="ADO55" s="36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73"/>
    </row>
    <row r="56" spans="1:1326" ht="20.100000000000001" customHeight="1" x14ac:dyDescent="0.25">
      <c r="A56" s="78" t="s">
        <v>27</v>
      </c>
      <c r="B56" s="51"/>
      <c r="C56" s="164"/>
      <c r="D56" s="120" t="str">
        <f t="shared" si="0"/>
        <v>90h</v>
      </c>
      <c r="E56" s="22">
        <v>1080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73"/>
    </row>
    <row r="57" spans="1:1326" ht="20.100000000000001" customHeight="1" x14ac:dyDescent="0.25">
      <c r="A57" s="78" t="s">
        <v>26</v>
      </c>
      <c r="B57" s="51"/>
      <c r="C57" s="163" t="s">
        <v>82</v>
      </c>
      <c r="D57" s="119" t="str">
        <f t="shared" si="0"/>
        <v>90h 30 min</v>
      </c>
      <c r="E57" s="26">
        <v>1086</v>
      </c>
      <c r="F57" s="211"/>
      <c r="G57" s="212"/>
      <c r="H57" s="212"/>
      <c r="I57" s="212"/>
      <c r="J57" s="212"/>
      <c r="K57" s="213"/>
      <c r="L57" s="212"/>
      <c r="M57" s="212"/>
      <c r="N57" s="212"/>
      <c r="O57" s="212"/>
      <c r="P57" s="212"/>
      <c r="Q57" s="214"/>
      <c r="R57" s="212"/>
      <c r="S57" s="212"/>
      <c r="T57" s="212"/>
      <c r="U57" s="212"/>
      <c r="V57" s="212"/>
      <c r="W57" s="215"/>
      <c r="X57" s="212"/>
      <c r="Y57" s="212"/>
      <c r="Z57" s="226"/>
      <c r="AA57" s="226"/>
      <c r="AB57" s="212"/>
      <c r="AC57" s="214"/>
      <c r="AD57" s="212"/>
      <c r="AE57" s="212"/>
      <c r="AF57" s="212"/>
      <c r="AG57" s="212"/>
      <c r="AH57" s="212"/>
      <c r="AI57" s="215"/>
      <c r="AJ57" s="212"/>
      <c r="AK57" s="212"/>
      <c r="AL57" s="212"/>
      <c r="AM57" s="212"/>
      <c r="AN57" s="212"/>
      <c r="AO57" s="214"/>
      <c r="AP57" s="212"/>
      <c r="AQ57" s="212"/>
      <c r="AR57" s="212"/>
      <c r="AS57" s="212"/>
      <c r="AT57" s="212"/>
      <c r="AU57" s="215"/>
      <c r="AV57" s="212"/>
      <c r="AW57" s="212"/>
      <c r="AX57" s="212"/>
      <c r="AY57" s="212"/>
      <c r="AZ57" s="212"/>
      <c r="BA57" s="214"/>
      <c r="BB57" s="212"/>
      <c r="BC57" s="212"/>
      <c r="BD57" s="212"/>
      <c r="BE57" s="212"/>
      <c r="BF57" s="212"/>
      <c r="BG57" s="215"/>
      <c r="BH57" s="212"/>
      <c r="BI57" s="212"/>
      <c r="BJ57" s="212"/>
      <c r="BK57" s="212"/>
      <c r="BL57" s="212"/>
      <c r="BM57" s="216"/>
      <c r="BN57" s="211"/>
      <c r="BO57" s="212"/>
      <c r="BP57" s="212"/>
      <c r="BQ57" s="212"/>
      <c r="BR57" s="212"/>
      <c r="BS57" s="213"/>
      <c r="BT57" s="212"/>
      <c r="BU57" s="212"/>
      <c r="BV57" s="212"/>
      <c r="BW57" s="212"/>
      <c r="BX57" s="212"/>
      <c r="BY57" s="214"/>
      <c r="BZ57" s="212"/>
      <c r="CA57" s="212"/>
      <c r="CB57" s="212"/>
      <c r="CC57" s="212"/>
      <c r="CD57" s="212"/>
      <c r="CE57" s="215"/>
      <c r="CF57" s="212"/>
      <c r="CG57" s="212"/>
      <c r="CH57" s="212"/>
      <c r="CI57" s="226"/>
      <c r="CJ57" s="226"/>
      <c r="CK57" s="227"/>
      <c r="CL57" s="226"/>
      <c r="CM57" s="212"/>
      <c r="CN57" s="212"/>
      <c r="CO57" s="212"/>
      <c r="CP57" s="212"/>
      <c r="CQ57" s="215"/>
      <c r="CR57" s="212"/>
      <c r="CS57" s="212"/>
      <c r="CT57" s="212"/>
      <c r="CU57" s="212"/>
      <c r="CV57" s="212"/>
      <c r="CW57" s="214"/>
      <c r="CX57" s="212"/>
      <c r="CY57" s="212"/>
      <c r="CZ57" s="212"/>
      <c r="DA57" s="212"/>
      <c r="DB57" s="212"/>
      <c r="DC57" s="215"/>
      <c r="DD57" s="212"/>
      <c r="DE57" s="212"/>
      <c r="DF57" s="212"/>
      <c r="DG57" s="212"/>
      <c r="DH57" s="212"/>
      <c r="DI57" s="214"/>
      <c r="DJ57" s="212"/>
      <c r="DK57" s="212"/>
      <c r="DL57" s="212"/>
      <c r="DM57" s="212"/>
      <c r="DN57" s="212"/>
      <c r="DO57" s="215"/>
      <c r="DP57" s="212"/>
      <c r="DQ57" s="212"/>
      <c r="DR57" s="212"/>
      <c r="DS57" s="212"/>
      <c r="DT57" s="212"/>
      <c r="DU57" s="216"/>
      <c r="DV57" s="211"/>
      <c r="DW57" s="212"/>
      <c r="DX57" s="212"/>
      <c r="DY57" s="212"/>
      <c r="DZ57" s="212"/>
      <c r="EA57" s="213"/>
      <c r="EB57" s="212"/>
      <c r="EC57" s="212"/>
      <c r="ED57" s="212"/>
      <c r="EE57" s="212"/>
      <c r="EF57" s="212"/>
      <c r="EG57" s="214"/>
      <c r="EH57" s="212"/>
      <c r="EI57" s="212"/>
      <c r="EJ57" s="212"/>
      <c r="EK57" s="212"/>
      <c r="EL57" s="212"/>
      <c r="EM57" s="215"/>
      <c r="EN57" s="212"/>
      <c r="EO57" s="212"/>
      <c r="EP57" s="212"/>
      <c r="EQ57" s="212"/>
      <c r="ER57" s="212"/>
      <c r="ES57" s="214"/>
      <c r="ET57" s="212"/>
      <c r="EU57" s="212"/>
      <c r="EV57" s="212"/>
      <c r="EW57" s="212"/>
      <c r="EX57" s="212"/>
      <c r="EY57" s="215"/>
      <c r="EZ57" s="212"/>
      <c r="FA57" s="212"/>
      <c r="FB57" s="212"/>
      <c r="FC57" s="212"/>
      <c r="FD57" s="212"/>
      <c r="FE57" s="214"/>
      <c r="FF57" s="212"/>
      <c r="FG57" s="212"/>
      <c r="FH57" s="212"/>
      <c r="FI57" s="212"/>
      <c r="FJ57" s="212"/>
      <c r="FK57" s="215"/>
      <c r="FL57" s="212"/>
      <c r="FM57" s="212"/>
      <c r="FN57" s="212"/>
      <c r="FO57" s="212"/>
      <c r="FP57" s="212"/>
      <c r="FQ57" s="214"/>
      <c r="FR57" s="212"/>
      <c r="FS57" s="212"/>
      <c r="FT57" s="212"/>
      <c r="FU57" s="212"/>
      <c r="FV57" s="212"/>
      <c r="FW57" s="215"/>
      <c r="FX57" s="212"/>
      <c r="FY57" s="212"/>
      <c r="FZ57" s="212"/>
      <c r="GA57" s="212"/>
      <c r="GB57" s="212"/>
      <c r="GC57" s="216"/>
      <c r="GD57" s="211"/>
      <c r="GE57" s="212"/>
      <c r="GF57" s="212"/>
      <c r="GG57" s="212"/>
      <c r="GH57" s="212"/>
      <c r="GI57" s="213"/>
      <c r="GJ57" s="212"/>
      <c r="GK57" s="212"/>
      <c r="GL57" s="212"/>
      <c r="GM57" s="212"/>
      <c r="GN57" s="212"/>
      <c r="GO57" s="214"/>
      <c r="GP57" s="212"/>
      <c r="GQ57" s="212"/>
      <c r="GR57" s="212"/>
      <c r="GS57" s="212"/>
      <c r="GT57" s="212"/>
      <c r="GU57" s="215"/>
      <c r="GV57" s="212"/>
      <c r="GW57" s="212"/>
      <c r="GX57" s="212"/>
      <c r="GY57" s="212"/>
      <c r="GZ57" s="212"/>
      <c r="HA57" s="214"/>
      <c r="HB57" s="212"/>
      <c r="HC57" s="212"/>
      <c r="HD57" s="212"/>
      <c r="HE57" s="212"/>
      <c r="HF57" s="212"/>
      <c r="HG57" s="215"/>
      <c r="HH57" s="212"/>
      <c r="HI57" s="212"/>
      <c r="HJ57" s="212"/>
      <c r="HK57" s="212"/>
      <c r="HL57" s="212"/>
      <c r="HM57" s="214"/>
      <c r="HN57" s="212"/>
      <c r="HO57" s="212"/>
      <c r="HP57" s="212"/>
      <c r="HQ57" s="212"/>
      <c r="HR57" s="212"/>
      <c r="HS57" s="215"/>
      <c r="HT57" s="212"/>
      <c r="HU57" s="212"/>
      <c r="HV57" s="212"/>
      <c r="HW57" s="212"/>
      <c r="HX57" s="212"/>
      <c r="HY57" s="214"/>
      <c r="HZ57" s="212"/>
      <c r="IA57" s="212"/>
      <c r="IB57" s="212"/>
      <c r="IC57" s="212"/>
      <c r="ID57" s="212"/>
      <c r="IE57" s="215"/>
      <c r="IF57" s="212"/>
      <c r="IG57" s="212"/>
      <c r="IH57" s="212"/>
      <c r="II57" s="212"/>
      <c r="IJ57" s="212"/>
      <c r="IK57" s="216"/>
      <c r="IL57" s="211"/>
      <c r="IM57" s="212"/>
      <c r="IN57" s="212"/>
      <c r="IO57" s="212"/>
      <c r="IP57" s="212"/>
      <c r="IQ57" s="213"/>
      <c r="IR57" s="212"/>
      <c r="IS57" s="212"/>
      <c r="IT57" s="212"/>
      <c r="IU57" s="212"/>
      <c r="IV57" s="212"/>
      <c r="IW57" s="214"/>
      <c r="IX57" s="212"/>
      <c r="IY57" s="212"/>
      <c r="IZ57" s="212"/>
      <c r="JA57" s="212"/>
      <c r="JB57" s="212"/>
      <c r="JC57" s="215"/>
      <c r="JD57" s="212"/>
      <c r="JE57" s="212"/>
      <c r="JF57" s="212"/>
      <c r="JG57" s="212"/>
      <c r="JH57" s="212"/>
      <c r="JI57" s="214"/>
      <c r="JJ57" s="212"/>
      <c r="JK57" s="212"/>
      <c r="JL57" s="212"/>
      <c r="JM57" s="212"/>
      <c r="JN57" s="212"/>
      <c r="JO57" s="215"/>
      <c r="JP57" s="212"/>
      <c r="JQ57" s="212"/>
      <c r="JR57" s="212"/>
      <c r="JS57" s="212"/>
      <c r="JT57" s="212"/>
      <c r="JU57" s="214"/>
      <c r="JV57" s="212"/>
      <c r="JW57" s="212"/>
      <c r="JX57" s="212"/>
      <c r="JY57" s="212"/>
      <c r="JZ57" s="212"/>
      <c r="KA57" s="215"/>
      <c r="KB57" s="212"/>
      <c r="KC57" s="212"/>
      <c r="KD57" s="212"/>
      <c r="KE57" s="212"/>
      <c r="KF57" s="212"/>
      <c r="KG57" s="214"/>
      <c r="KH57" s="212"/>
      <c r="KI57" s="212"/>
      <c r="KJ57" s="212"/>
      <c r="KK57" s="212"/>
      <c r="KL57" s="212"/>
      <c r="KM57" s="215"/>
      <c r="KN57" s="212"/>
      <c r="KO57" s="212"/>
      <c r="KP57" s="212"/>
      <c r="KQ57" s="212"/>
      <c r="KR57" s="212"/>
      <c r="KS57" s="216"/>
      <c r="KT57" s="211"/>
      <c r="KU57" s="212"/>
      <c r="KV57" s="212"/>
      <c r="KW57" s="212"/>
      <c r="KX57" s="212"/>
      <c r="KY57" s="213"/>
      <c r="KZ57" s="212"/>
      <c r="LA57" s="212"/>
      <c r="LB57" s="212"/>
      <c r="LC57" s="212"/>
      <c r="LD57" s="212"/>
      <c r="LE57" s="214"/>
      <c r="LF57" s="212"/>
      <c r="LG57" s="212"/>
      <c r="LH57" s="212"/>
      <c r="LI57" s="212"/>
      <c r="LJ57" s="212"/>
      <c r="LK57" s="215"/>
      <c r="LL57" s="212"/>
      <c r="LM57" s="212"/>
      <c r="LN57" s="212"/>
      <c r="LO57" s="212"/>
      <c r="LP57" s="212"/>
      <c r="LQ57" s="214"/>
      <c r="LR57" s="212"/>
      <c r="LS57" s="212"/>
      <c r="LT57" s="212"/>
      <c r="LU57" s="212"/>
      <c r="LV57" s="212"/>
      <c r="LW57" s="215"/>
      <c r="LX57" s="212"/>
      <c r="LY57" s="212"/>
      <c r="LZ57" s="212"/>
      <c r="MA57" s="212"/>
      <c r="MB57" s="212"/>
      <c r="MC57" s="214"/>
      <c r="MD57" s="212"/>
      <c r="ME57" s="212"/>
      <c r="MF57" s="212"/>
      <c r="MG57" s="212"/>
      <c r="MH57" s="212"/>
      <c r="MI57" s="215"/>
      <c r="MJ57" s="212"/>
      <c r="MK57" s="212"/>
      <c r="ML57" s="212"/>
      <c r="MM57" s="212"/>
      <c r="MN57" s="212"/>
      <c r="MO57" s="214"/>
      <c r="MP57" s="212"/>
      <c r="MQ57" s="212"/>
      <c r="MR57" s="212"/>
      <c r="MS57" s="212"/>
      <c r="MT57" s="212"/>
      <c r="MU57" s="215"/>
      <c r="MV57" s="212"/>
      <c r="MW57" s="212"/>
      <c r="MX57" s="212"/>
      <c r="MY57" s="212"/>
      <c r="MZ57" s="212"/>
      <c r="NA57" s="216"/>
      <c r="NB57" s="211"/>
      <c r="NC57" s="212"/>
      <c r="ND57" s="212"/>
      <c r="NE57" s="212"/>
      <c r="NF57" s="212"/>
      <c r="NG57" s="213"/>
      <c r="NH57" s="212"/>
      <c r="NI57" s="212"/>
      <c r="NJ57" s="212"/>
      <c r="NK57" s="212"/>
      <c r="NL57" s="212"/>
      <c r="NM57" s="214"/>
      <c r="NN57" s="212"/>
      <c r="NO57" s="212"/>
      <c r="NP57" s="212"/>
      <c r="NQ57" s="212"/>
      <c r="NR57" s="212"/>
      <c r="NS57" s="215"/>
      <c r="NT57" s="212"/>
      <c r="NU57" s="212"/>
      <c r="NV57" s="212"/>
      <c r="NW57" s="212"/>
      <c r="NX57" s="212"/>
      <c r="NY57" s="214"/>
      <c r="NZ57" s="212"/>
      <c r="OA57" s="212"/>
      <c r="OB57" s="212"/>
      <c r="OC57" s="212"/>
      <c r="OD57" s="212"/>
      <c r="OE57" s="215"/>
      <c r="OF57" s="212"/>
      <c r="OG57" s="212"/>
      <c r="OH57" s="212"/>
      <c r="OI57" s="212"/>
      <c r="OJ57" s="212"/>
      <c r="OK57" s="214"/>
      <c r="OL57" s="212"/>
      <c r="OM57" s="212"/>
      <c r="ON57" s="212"/>
      <c r="OO57" s="212"/>
      <c r="OP57" s="212"/>
      <c r="OQ57" s="215"/>
      <c r="OR57" s="212"/>
      <c r="OS57" s="212"/>
      <c r="OT57" s="212"/>
      <c r="OU57" s="212"/>
      <c r="OV57" s="212"/>
      <c r="OW57" s="214"/>
      <c r="OX57" s="212"/>
      <c r="OY57" s="212"/>
      <c r="OZ57" s="212"/>
      <c r="PA57" s="212"/>
      <c r="PB57" s="212"/>
      <c r="PC57" s="215"/>
      <c r="PD57" s="212"/>
      <c r="PE57" s="212"/>
      <c r="PF57" s="212"/>
      <c r="PG57" s="212"/>
      <c r="PH57" s="212"/>
      <c r="PI57" s="216"/>
      <c r="PJ57" s="211"/>
      <c r="PK57" s="212"/>
      <c r="PL57" s="212"/>
      <c r="PM57" s="212"/>
      <c r="PN57" s="212"/>
      <c r="PO57" s="213"/>
      <c r="PP57" s="212"/>
      <c r="PQ57" s="212"/>
      <c r="PR57" s="212"/>
      <c r="PS57" s="212"/>
      <c r="PT57" s="212"/>
      <c r="PU57" s="214"/>
      <c r="PV57" s="212"/>
      <c r="PW57" s="212"/>
      <c r="PX57" s="212"/>
      <c r="PY57" s="212"/>
      <c r="PZ57" s="212"/>
      <c r="QA57" s="215"/>
      <c r="QB57" s="212"/>
      <c r="QC57" s="212"/>
      <c r="QD57" s="212"/>
      <c r="QE57" s="212"/>
      <c r="QF57" s="212"/>
      <c r="QG57" s="214"/>
      <c r="QH57" s="212"/>
      <c r="QI57" s="212"/>
      <c r="QJ57" s="212"/>
      <c r="QK57" s="212"/>
      <c r="QL57" s="212"/>
      <c r="QM57" s="215"/>
      <c r="QN57" s="212"/>
      <c r="QO57" s="212"/>
      <c r="QP57" s="212"/>
      <c r="QQ57" s="212"/>
      <c r="QR57" s="212"/>
      <c r="QS57" s="214"/>
      <c r="QT57" s="212"/>
      <c r="QU57" s="212"/>
      <c r="QV57" s="212"/>
      <c r="QW57" s="212"/>
      <c r="QX57" s="212"/>
      <c r="QY57" s="215"/>
      <c r="QZ57" s="212"/>
      <c r="RA57" s="212"/>
      <c r="RB57" s="212"/>
      <c r="RC57" s="212"/>
      <c r="RD57" s="212"/>
      <c r="RE57" s="214"/>
      <c r="RF57" s="212"/>
      <c r="RG57" s="212"/>
      <c r="RH57" s="212"/>
      <c r="RI57" s="212"/>
      <c r="RJ57" s="212"/>
      <c r="RK57" s="215"/>
      <c r="RL57" s="212"/>
      <c r="RM57" s="212"/>
      <c r="RN57" s="212"/>
      <c r="RO57" s="212"/>
      <c r="RP57" s="212"/>
      <c r="RQ57" s="216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73"/>
    </row>
    <row r="58" spans="1:1326" ht="20.100000000000001" customHeight="1" x14ac:dyDescent="0.3">
      <c r="A58" s="78" t="s">
        <v>27</v>
      </c>
      <c r="B58" s="51"/>
      <c r="C58" s="164"/>
      <c r="D58" s="121" t="str">
        <f t="shared" si="0"/>
        <v>90h</v>
      </c>
      <c r="E58" s="30">
        <v>1080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73"/>
    </row>
    <row r="59" spans="1:1326" ht="20.100000000000001" customHeight="1" x14ac:dyDescent="0.25">
      <c r="A59" s="78" t="s">
        <v>26</v>
      </c>
      <c r="B59" s="51"/>
      <c r="C59" s="163" t="s">
        <v>72</v>
      </c>
      <c r="D59" s="119" t="str">
        <f t="shared" si="0"/>
        <v>91h 10 min</v>
      </c>
      <c r="E59" s="26">
        <v>1094</v>
      </c>
      <c r="F59" s="223"/>
      <c r="G59" s="224"/>
      <c r="H59" s="224"/>
      <c r="I59" s="224"/>
      <c r="J59" s="224"/>
      <c r="K59" s="225"/>
      <c r="L59" s="224"/>
      <c r="M59" s="224"/>
      <c r="N59" s="224"/>
      <c r="O59" s="224"/>
      <c r="P59" s="224"/>
      <c r="Q59" s="229"/>
      <c r="R59" s="224"/>
      <c r="S59" s="224"/>
      <c r="T59" s="218"/>
      <c r="U59" s="218"/>
      <c r="V59" s="218"/>
      <c r="W59" s="221"/>
      <c r="X59" s="218"/>
      <c r="Y59" s="218"/>
      <c r="Z59" s="218"/>
      <c r="AA59" s="218"/>
      <c r="AB59" s="218"/>
      <c r="AC59" s="220"/>
      <c r="AD59" s="218"/>
      <c r="AE59" s="218"/>
      <c r="AF59" s="218"/>
      <c r="AG59" s="218"/>
      <c r="AH59" s="218"/>
      <c r="AI59" s="221"/>
      <c r="AJ59" s="218"/>
      <c r="AK59" s="218"/>
      <c r="AL59" s="218"/>
      <c r="AM59" s="218"/>
      <c r="AN59" s="218"/>
      <c r="AO59" s="220"/>
      <c r="AP59" s="218"/>
      <c r="AQ59" s="218"/>
      <c r="AR59" s="218"/>
      <c r="AS59" s="218"/>
      <c r="AT59" s="218"/>
      <c r="AU59" s="221"/>
      <c r="AV59" s="218"/>
      <c r="AW59" s="218"/>
      <c r="AX59" s="218"/>
      <c r="AY59" s="218"/>
      <c r="AZ59" s="218"/>
      <c r="BA59" s="220"/>
      <c r="BB59" s="218"/>
      <c r="BC59" s="218"/>
      <c r="BD59" s="218"/>
      <c r="BE59" s="218"/>
      <c r="BF59" s="218"/>
      <c r="BG59" s="221"/>
      <c r="BH59" s="218"/>
      <c r="BI59" s="218"/>
      <c r="BJ59" s="218"/>
      <c r="BK59" s="218"/>
      <c r="BL59" s="218"/>
      <c r="BM59" s="222"/>
      <c r="BN59" s="217"/>
      <c r="BO59" s="218"/>
      <c r="BP59" s="218"/>
      <c r="BQ59" s="218"/>
      <c r="BR59" s="218"/>
      <c r="BS59" s="219"/>
      <c r="BT59" s="218"/>
      <c r="BU59" s="218"/>
      <c r="BV59" s="218"/>
      <c r="BW59" s="218"/>
      <c r="BX59" s="218"/>
      <c r="BY59" s="220"/>
      <c r="BZ59" s="218"/>
      <c r="CA59" s="218"/>
      <c r="CB59" s="218"/>
      <c r="CC59" s="218"/>
      <c r="CD59" s="218"/>
      <c r="CE59" s="221"/>
      <c r="CF59" s="218"/>
      <c r="CG59" s="218"/>
      <c r="CH59" s="218"/>
      <c r="CI59" s="218"/>
      <c r="CJ59" s="218"/>
      <c r="CK59" s="220"/>
      <c r="CL59" s="218"/>
      <c r="CM59" s="218"/>
      <c r="CN59" s="218"/>
      <c r="CO59" s="218"/>
      <c r="CP59" s="218"/>
      <c r="CQ59" s="221"/>
      <c r="CR59" s="218"/>
      <c r="CS59" s="218"/>
      <c r="CT59" s="218"/>
      <c r="CU59" s="218"/>
      <c r="CV59" s="218"/>
      <c r="CW59" s="220"/>
      <c r="CX59" s="218"/>
      <c r="CY59" s="218"/>
      <c r="CZ59" s="218"/>
      <c r="DA59" s="218"/>
      <c r="DB59" s="218"/>
      <c r="DC59" s="221"/>
      <c r="DD59" s="218"/>
      <c r="DE59" s="218"/>
      <c r="DF59" s="218"/>
      <c r="DG59" s="218"/>
      <c r="DH59" s="218"/>
      <c r="DI59" s="220"/>
      <c r="DJ59" s="218"/>
      <c r="DK59" s="218"/>
      <c r="DL59" s="218"/>
      <c r="DM59" s="218"/>
      <c r="DN59" s="218"/>
      <c r="DO59" s="221"/>
      <c r="DP59" s="218"/>
      <c r="DQ59" s="218"/>
      <c r="DR59" s="218"/>
      <c r="DS59" s="218"/>
      <c r="DT59" s="218"/>
      <c r="DU59" s="222"/>
      <c r="DV59" s="217"/>
      <c r="DW59" s="218"/>
      <c r="DX59" s="218"/>
      <c r="DY59" s="218"/>
      <c r="DZ59" s="218"/>
      <c r="EA59" s="219"/>
      <c r="EB59" s="218"/>
      <c r="EC59" s="218"/>
      <c r="ED59" s="218"/>
      <c r="EE59" s="218"/>
      <c r="EF59" s="218"/>
      <c r="EG59" s="220"/>
      <c r="EH59" s="218"/>
      <c r="EI59" s="218"/>
      <c r="EJ59" s="218"/>
      <c r="EK59" s="218"/>
      <c r="EL59" s="218"/>
      <c r="EM59" s="221"/>
      <c r="EN59" s="218"/>
      <c r="EO59" s="218"/>
      <c r="EP59" s="218"/>
      <c r="EQ59" s="218"/>
      <c r="ER59" s="218"/>
      <c r="ES59" s="220"/>
      <c r="ET59" s="218"/>
      <c r="EU59" s="218"/>
      <c r="EV59" s="218"/>
      <c r="EW59" s="218"/>
      <c r="EX59" s="218"/>
      <c r="EY59" s="221"/>
      <c r="EZ59" s="218"/>
      <c r="FA59" s="218"/>
      <c r="FB59" s="218"/>
      <c r="FC59" s="218"/>
      <c r="FD59" s="218"/>
      <c r="FE59" s="220"/>
      <c r="FF59" s="218"/>
      <c r="FG59" s="218"/>
      <c r="FH59" s="218"/>
      <c r="FI59" s="218"/>
      <c r="FJ59" s="218"/>
      <c r="FK59" s="221"/>
      <c r="FL59" s="218"/>
      <c r="FM59" s="218"/>
      <c r="FN59" s="218"/>
      <c r="FO59" s="218"/>
      <c r="FP59" s="218"/>
      <c r="FQ59" s="220"/>
      <c r="FR59" s="218"/>
      <c r="FS59" s="218"/>
      <c r="FT59" s="218"/>
      <c r="FU59" s="218"/>
      <c r="FV59" s="218"/>
      <c r="FW59" s="221"/>
      <c r="FX59" s="218"/>
      <c r="FY59" s="218"/>
      <c r="FZ59" s="218"/>
      <c r="GA59" s="218"/>
      <c r="GB59" s="218"/>
      <c r="GC59" s="222"/>
      <c r="GD59" s="217"/>
      <c r="GE59" s="218"/>
      <c r="GF59" s="218"/>
      <c r="GG59" s="218"/>
      <c r="GH59" s="218"/>
      <c r="GI59" s="219"/>
      <c r="GJ59" s="218"/>
      <c r="GK59" s="218"/>
      <c r="GL59" s="218"/>
      <c r="GM59" s="218"/>
      <c r="GN59" s="218"/>
      <c r="GO59" s="220"/>
      <c r="GP59" s="218"/>
      <c r="GQ59" s="218"/>
      <c r="GR59" s="218"/>
      <c r="GS59" s="218"/>
      <c r="GT59" s="218"/>
      <c r="GU59" s="221"/>
      <c r="GV59" s="218"/>
      <c r="GW59" s="218"/>
      <c r="GX59" s="218"/>
      <c r="GY59" s="218"/>
      <c r="GZ59" s="218"/>
      <c r="HA59" s="220"/>
      <c r="HB59" s="218"/>
      <c r="HC59" s="218"/>
      <c r="HD59" s="218"/>
      <c r="HE59" s="218"/>
      <c r="HF59" s="218"/>
      <c r="HG59" s="221"/>
      <c r="HH59" s="218"/>
      <c r="HI59" s="218"/>
      <c r="HJ59" s="218"/>
      <c r="HK59" s="218"/>
      <c r="HL59" s="218"/>
      <c r="HM59" s="220"/>
      <c r="HN59" s="218"/>
      <c r="HO59" s="218"/>
      <c r="HP59" s="218"/>
      <c r="HQ59" s="218"/>
      <c r="HR59" s="218"/>
      <c r="HS59" s="221"/>
      <c r="HT59" s="218"/>
      <c r="HU59" s="218"/>
      <c r="HV59" s="218"/>
      <c r="HW59" s="218"/>
      <c r="HX59" s="218"/>
      <c r="HY59" s="220"/>
      <c r="HZ59" s="218"/>
      <c r="IA59" s="218"/>
      <c r="IB59" s="218"/>
      <c r="IC59" s="218"/>
      <c r="ID59" s="218"/>
      <c r="IE59" s="221"/>
      <c r="IF59" s="218"/>
      <c r="IG59" s="218"/>
      <c r="IH59" s="218"/>
      <c r="II59" s="218"/>
      <c r="IJ59" s="218"/>
      <c r="IK59" s="222"/>
      <c r="IL59" s="217"/>
      <c r="IM59" s="218"/>
      <c r="IN59" s="218"/>
      <c r="IO59" s="218"/>
      <c r="IP59" s="218"/>
      <c r="IQ59" s="219"/>
      <c r="IR59" s="218"/>
      <c r="IS59" s="218"/>
      <c r="IT59" s="218"/>
      <c r="IU59" s="218"/>
      <c r="IV59" s="218"/>
      <c r="IW59" s="220"/>
      <c r="IX59" s="218"/>
      <c r="IY59" s="218"/>
      <c r="IZ59" s="218"/>
      <c r="JA59" s="218"/>
      <c r="JB59" s="218"/>
      <c r="JC59" s="221"/>
      <c r="JD59" s="218"/>
      <c r="JE59" s="218"/>
      <c r="JF59" s="218"/>
      <c r="JG59" s="218"/>
      <c r="JH59" s="218"/>
      <c r="JI59" s="220"/>
      <c r="JJ59" s="218"/>
      <c r="JK59" s="218"/>
      <c r="JL59" s="218"/>
      <c r="JM59" s="218"/>
      <c r="JN59" s="218"/>
      <c r="JO59" s="221"/>
      <c r="JP59" s="218"/>
      <c r="JQ59" s="218"/>
      <c r="JR59" s="218"/>
      <c r="JS59" s="218"/>
      <c r="JT59" s="218"/>
      <c r="JU59" s="220"/>
      <c r="JV59" s="218"/>
      <c r="JW59" s="218"/>
      <c r="JX59" s="218"/>
      <c r="JY59" s="218"/>
      <c r="JZ59" s="218"/>
      <c r="KA59" s="221"/>
      <c r="KB59" s="218"/>
      <c r="KC59" s="218"/>
      <c r="KD59" s="218"/>
      <c r="KE59" s="218"/>
      <c r="KF59" s="218"/>
      <c r="KG59" s="220"/>
      <c r="KH59" s="218"/>
      <c r="KI59" s="218"/>
      <c r="KJ59" s="218"/>
      <c r="KK59" s="218"/>
      <c r="KL59" s="218"/>
      <c r="KM59" s="221"/>
      <c r="KN59" s="218"/>
      <c r="KO59" s="218"/>
      <c r="KP59" s="218"/>
      <c r="KQ59" s="218"/>
      <c r="KR59" s="218"/>
      <c r="KS59" s="222"/>
      <c r="KT59" s="217"/>
      <c r="KU59" s="218"/>
      <c r="KV59" s="218"/>
      <c r="KW59" s="218"/>
      <c r="KX59" s="218"/>
      <c r="KY59" s="219"/>
      <c r="KZ59" s="218"/>
      <c r="LA59" s="218"/>
      <c r="LB59" s="218"/>
      <c r="LC59" s="218"/>
      <c r="LD59" s="218"/>
      <c r="LE59" s="220"/>
      <c r="LF59" s="218"/>
      <c r="LG59" s="218"/>
      <c r="LH59" s="218"/>
      <c r="LI59" s="218"/>
      <c r="LJ59" s="218"/>
      <c r="LK59" s="221"/>
      <c r="LL59" s="218"/>
      <c r="LM59" s="218"/>
      <c r="LN59" s="218"/>
      <c r="LO59" s="218"/>
      <c r="LP59" s="218"/>
      <c r="LQ59" s="220"/>
      <c r="LR59" s="218"/>
      <c r="LS59" s="218"/>
      <c r="LT59" s="218"/>
      <c r="LU59" s="218"/>
      <c r="LV59" s="218"/>
      <c r="LW59" s="221"/>
      <c r="LX59" s="218"/>
      <c r="LY59" s="218"/>
      <c r="LZ59" s="218"/>
      <c r="MA59" s="218"/>
      <c r="MB59" s="218"/>
      <c r="MC59" s="220"/>
      <c r="MD59" s="218"/>
      <c r="ME59" s="218"/>
      <c r="MF59" s="218"/>
      <c r="MG59" s="218"/>
      <c r="MH59" s="218"/>
      <c r="MI59" s="221"/>
      <c r="MJ59" s="218"/>
      <c r="MK59" s="218"/>
      <c r="ML59" s="218"/>
      <c r="MM59" s="218"/>
      <c r="MN59" s="218"/>
      <c r="MO59" s="220"/>
      <c r="MP59" s="218"/>
      <c r="MQ59" s="218"/>
      <c r="MR59" s="218"/>
      <c r="MS59" s="218"/>
      <c r="MT59" s="218"/>
      <c r="MU59" s="221"/>
      <c r="MV59" s="218"/>
      <c r="MW59" s="218"/>
      <c r="MX59" s="218"/>
      <c r="MY59" s="218"/>
      <c r="MZ59" s="218"/>
      <c r="NA59" s="222"/>
      <c r="NB59" s="217"/>
      <c r="NC59" s="218"/>
      <c r="ND59" s="218"/>
      <c r="NE59" s="218"/>
      <c r="NF59" s="218"/>
      <c r="NG59" s="219"/>
      <c r="NH59" s="218"/>
      <c r="NI59" s="218"/>
      <c r="NJ59" s="218"/>
      <c r="NK59" s="218"/>
      <c r="NL59" s="218"/>
      <c r="NM59" s="220"/>
      <c r="NN59" s="218"/>
      <c r="NO59" s="218"/>
      <c r="NP59" s="218"/>
      <c r="NQ59" s="218"/>
      <c r="NR59" s="218"/>
      <c r="NS59" s="221"/>
      <c r="NT59" s="218"/>
      <c r="NU59" s="218"/>
      <c r="NV59" s="218"/>
      <c r="NW59" s="218"/>
      <c r="NX59" s="218"/>
      <c r="NY59" s="220"/>
      <c r="NZ59" s="218"/>
      <c r="OA59" s="218"/>
      <c r="OB59" s="218"/>
      <c r="OC59" s="218"/>
      <c r="OD59" s="218"/>
      <c r="OE59" s="221"/>
      <c r="OF59" s="218"/>
      <c r="OG59" s="218"/>
      <c r="OH59" s="218"/>
      <c r="OI59" s="218"/>
      <c r="OJ59" s="218"/>
      <c r="OK59" s="220"/>
      <c r="OL59" s="218"/>
      <c r="OM59" s="218"/>
      <c r="ON59" s="218"/>
      <c r="OO59" s="218"/>
      <c r="OP59" s="218"/>
      <c r="OQ59" s="221"/>
      <c r="OR59" s="218"/>
      <c r="OS59" s="218"/>
      <c r="OT59" s="218"/>
      <c r="OU59" s="218"/>
      <c r="OV59" s="218"/>
      <c r="OW59" s="220"/>
      <c r="OX59" s="218"/>
      <c r="OY59" s="218"/>
      <c r="OZ59" s="218"/>
      <c r="PA59" s="218"/>
      <c r="PB59" s="218"/>
      <c r="PC59" s="221"/>
      <c r="PD59" s="218"/>
      <c r="PE59" s="218"/>
      <c r="PF59" s="218"/>
      <c r="PG59" s="218"/>
      <c r="PH59" s="218"/>
      <c r="PI59" s="222"/>
      <c r="PJ59" s="217"/>
      <c r="PK59" s="218"/>
      <c r="PL59" s="218"/>
      <c r="PM59" s="218"/>
      <c r="PN59" s="218"/>
      <c r="PO59" s="219"/>
      <c r="PP59" s="218"/>
      <c r="PQ59" s="218"/>
      <c r="PR59" s="218"/>
      <c r="PS59" s="218"/>
      <c r="PT59" s="218"/>
      <c r="PU59" s="220"/>
      <c r="PV59" s="218"/>
      <c r="PW59" s="218"/>
      <c r="PX59" s="218"/>
      <c r="PY59" s="218"/>
      <c r="PZ59" s="218"/>
      <c r="QA59" s="221"/>
      <c r="QB59" s="218"/>
      <c r="QC59" s="218"/>
      <c r="QD59" s="218"/>
      <c r="QE59" s="218"/>
      <c r="QF59" s="218"/>
      <c r="QG59" s="220"/>
      <c r="QH59" s="218"/>
      <c r="QI59" s="218"/>
      <c r="QJ59" s="218"/>
      <c r="QK59" s="218"/>
      <c r="QL59" s="218"/>
      <c r="QM59" s="221"/>
      <c r="QN59" s="218"/>
      <c r="QO59" s="218"/>
      <c r="QP59" s="218"/>
      <c r="QQ59" s="218"/>
      <c r="QR59" s="218"/>
      <c r="QS59" s="220"/>
      <c r="QT59" s="218"/>
      <c r="QU59" s="218"/>
      <c r="QV59" s="218"/>
      <c r="QW59" s="218"/>
      <c r="QX59" s="218"/>
      <c r="QY59" s="221"/>
      <c r="QZ59" s="218"/>
      <c r="RA59" s="218"/>
      <c r="RB59" s="218"/>
      <c r="RC59" s="218"/>
      <c r="RD59" s="218"/>
      <c r="RE59" s="220"/>
      <c r="RF59" s="218"/>
      <c r="RG59" s="218"/>
      <c r="RH59" s="218"/>
      <c r="RI59" s="218"/>
      <c r="RJ59" s="218"/>
      <c r="RK59" s="221"/>
      <c r="RL59" s="218"/>
      <c r="RM59" s="218"/>
      <c r="RN59" s="218"/>
      <c r="RO59" s="218"/>
      <c r="RP59" s="218"/>
      <c r="RQ59" s="222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73"/>
    </row>
    <row r="60" spans="1:1326" ht="20.100000000000001" customHeight="1" x14ac:dyDescent="0.3">
      <c r="A60" s="78" t="s">
        <v>27</v>
      </c>
      <c r="B60" s="51"/>
      <c r="C60" s="164"/>
      <c r="D60" s="121" t="str">
        <f t="shared" si="0"/>
        <v>90h</v>
      </c>
      <c r="E60" s="30">
        <v>1080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73"/>
    </row>
    <row r="61" spans="1:1326" ht="20.100000000000001" customHeight="1" x14ac:dyDescent="0.25">
      <c r="A61" s="78" t="s">
        <v>26</v>
      </c>
      <c r="B61" s="51"/>
      <c r="C61" s="163" t="s">
        <v>71</v>
      </c>
      <c r="D61" s="119" t="str">
        <f t="shared" si="0"/>
        <v>90h</v>
      </c>
      <c r="E61" s="34">
        <v>1080</v>
      </c>
      <c r="F61" s="211"/>
      <c r="G61" s="212"/>
      <c r="H61" s="212"/>
      <c r="I61" s="212"/>
      <c r="J61" s="212"/>
      <c r="K61" s="213"/>
      <c r="L61" s="212"/>
      <c r="M61" s="212"/>
      <c r="N61" s="212"/>
      <c r="O61" s="212"/>
      <c r="P61" s="212"/>
      <c r="Q61" s="214"/>
      <c r="R61" s="212"/>
      <c r="S61" s="212"/>
      <c r="T61" s="212"/>
      <c r="U61" s="212"/>
      <c r="V61" s="212"/>
      <c r="W61" s="215"/>
      <c r="X61" s="212"/>
      <c r="Y61" s="212"/>
      <c r="Z61" s="212"/>
      <c r="AA61" s="212"/>
      <c r="AB61" s="212"/>
      <c r="AC61" s="214"/>
      <c r="AD61" s="212"/>
      <c r="AE61" s="212"/>
      <c r="AF61" s="212"/>
      <c r="AG61" s="212"/>
      <c r="AH61" s="212"/>
      <c r="AI61" s="215"/>
      <c r="AJ61" s="212"/>
      <c r="AK61" s="212"/>
      <c r="AL61" s="212"/>
      <c r="AM61" s="212"/>
      <c r="AN61" s="212"/>
      <c r="AO61" s="214"/>
      <c r="AP61" s="212"/>
      <c r="AQ61" s="212"/>
      <c r="AR61" s="212"/>
      <c r="AS61" s="212"/>
      <c r="AT61" s="212"/>
      <c r="AU61" s="215"/>
      <c r="AV61" s="212"/>
      <c r="AW61" s="212"/>
      <c r="AX61" s="212"/>
      <c r="AY61" s="212"/>
      <c r="AZ61" s="212"/>
      <c r="BA61" s="214"/>
      <c r="BB61" s="212"/>
      <c r="BC61" s="212"/>
      <c r="BD61" s="212"/>
      <c r="BE61" s="212"/>
      <c r="BF61" s="212"/>
      <c r="BG61" s="215"/>
      <c r="BH61" s="212"/>
      <c r="BI61" s="212"/>
      <c r="BJ61" s="212"/>
      <c r="BK61" s="212"/>
      <c r="BL61" s="212"/>
      <c r="BM61" s="216"/>
      <c r="BN61" s="211"/>
      <c r="BO61" s="212"/>
      <c r="BP61" s="212"/>
      <c r="BQ61" s="212"/>
      <c r="BR61" s="212"/>
      <c r="BS61" s="213"/>
      <c r="BT61" s="212"/>
      <c r="BU61" s="212"/>
      <c r="BV61" s="212"/>
      <c r="BW61" s="212"/>
      <c r="BX61" s="212"/>
      <c r="BY61" s="214"/>
      <c r="BZ61" s="212"/>
      <c r="CA61" s="212"/>
      <c r="CB61" s="212"/>
      <c r="CC61" s="212"/>
      <c r="CD61" s="212"/>
      <c r="CE61" s="215"/>
      <c r="CF61" s="212"/>
      <c r="CG61" s="212"/>
      <c r="CH61" s="212"/>
      <c r="CI61" s="212"/>
      <c r="CJ61" s="212"/>
      <c r="CK61" s="214"/>
      <c r="CL61" s="212"/>
      <c r="CM61" s="212"/>
      <c r="CN61" s="212"/>
      <c r="CO61" s="212"/>
      <c r="CP61" s="212"/>
      <c r="CQ61" s="215"/>
      <c r="CR61" s="212"/>
      <c r="CS61" s="212"/>
      <c r="CT61" s="212"/>
      <c r="CU61" s="212"/>
      <c r="CV61" s="212"/>
      <c r="CW61" s="214"/>
      <c r="CX61" s="212"/>
      <c r="CY61" s="212"/>
      <c r="CZ61" s="212"/>
      <c r="DA61" s="212"/>
      <c r="DB61" s="212"/>
      <c r="DC61" s="215"/>
      <c r="DD61" s="212"/>
      <c r="DE61" s="212"/>
      <c r="DF61" s="212"/>
      <c r="DG61" s="212"/>
      <c r="DH61" s="212"/>
      <c r="DI61" s="214"/>
      <c r="DJ61" s="212"/>
      <c r="DK61" s="212"/>
      <c r="DL61" s="212"/>
      <c r="DM61" s="212"/>
      <c r="DN61" s="212"/>
      <c r="DO61" s="215"/>
      <c r="DP61" s="212"/>
      <c r="DQ61" s="212"/>
      <c r="DR61" s="212"/>
      <c r="DS61" s="212"/>
      <c r="DT61" s="212"/>
      <c r="DU61" s="216"/>
      <c r="DV61" s="211"/>
      <c r="DW61" s="212"/>
      <c r="DX61" s="212"/>
      <c r="DY61" s="212"/>
      <c r="DZ61" s="212"/>
      <c r="EA61" s="213"/>
      <c r="EB61" s="212"/>
      <c r="EC61" s="212"/>
      <c r="ED61" s="212"/>
      <c r="EE61" s="212"/>
      <c r="EF61" s="212"/>
      <c r="EG61" s="214"/>
      <c r="EH61" s="212"/>
      <c r="EI61" s="212"/>
      <c r="EJ61" s="212"/>
      <c r="EK61" s="212"/>
      <c r="EL61" s="212"/>
      <c r="EM61" s="215"/>
      <c r="EN61" s="212"/>
      <c r="EO61" s="212"/>
      <c r="EP61" s="212"/>
      <c r="EQ61" s="212"/>
      <c r="ER61" s="212"/>
      <c r="ES61" s="214"/>
      <c r="ET61" s="212"/>
      <c r="EU61" s="212"/>
      <c r="EV61" s="212"/>
      <c r="EW61" s="212"/>
      <c r="EX61" s="212"/>
      <c r="EY61" s="215"/>
      <c r="EZ61" s="212"/>
      <c r="FA61" s="212"/>
      <c r="FB61" s="212"/>
      <c r="FC61" s="212"/>
      <c r="FD61" s="212"/>
      <c r="FE61" s="214"/>
      <c r="FF61" s="212"/>
      <c r="FG61" s="212"/>
      <c r="FH61" s="212"/>
      <c r="FI61" s="212"/>
      <c r="FJ61" s="212"/>
      <c r="FK61" s="215"/>
      <c r="FL61" s="212"/>
      <c r="FM61" s="212"/>
      <c r="FN61" s="212"/>
      <c r="FO61" s="212"/>
      <c r="FP61" s="212"/>
      <c r="FQ61" s="214"/>
      <c r="FR61" s="212"/>
      <c r="FS61" s="212"/>
      <c r="FT61" s="212"/>
      <c r="FU61" s="212"/>
      <c r="FV61" s="212"/>
      <c r="FW61" s="215"/>
      <c r="FX61" s="212"/>
      <c r="FY61" s="212"/>
      <c r="FZ61" s="212"/>
      <c r="GA61" s="212"/>
      <c r="GB61" s="212"/>
      <c r="GC61" s="216"/>
      <c r="GD61" s="211"/>
      <c r="GE61" s="212"/>
      <c r="GF61" s="212"/>
      <c r="GG61" s="212"/>
      <c r="GH61" s="212"/>
      <c r="GI61" s="213"/>
      <c r="GJ61" s="212"/>
      <c r="GK61" s="212"/>
      <c r="GL61" s="212"/>
      <c r="GM61" s="212"/>
      <c r="GN61" s="212"/>
      <c r="GO61" s="214"/>
      <c r="GP61" s="212"/>
      <c r="GQ61" s="212"/>
      <c r="GR61" s="212"/>
      <c r="GS61" s="212"/>
      <c r="GT61" s="212"/>
      <c r="GU61" s="215"/>
      <c r="GV61" s="212"/>
      <c r="GW61" s="212"/>
      <c r="GX61" s="212"/>
      <c r="GY61" s="212"/>
      <c r="GZ61" s="212"/>
      <c r="HA61" s="214"/>
      <c r="HB61" s="212"/>
      <c r="HC61" s="212"/>
      <c r="HD61" s="212"/>
      <c r="HE61" s="212"/>
      <c r="HF61" s="212"/>
      <c r="HG61" s="215"/>
      <c r="HH61" s="212"/>
      <c r="HI61" s="212"/>
      <c r="HJ61" s="212"/>
      <c r="HK61" s="212"/>
      <c r="HL61" s="212"/>
      <c r="HM61" s="214"/>
      <c r="HN61" s="212"/>
      <c r="HO61" s="212"/>
      <c r="HP61" s="212"/>
      <c r="HQ61" s="212"/>
      <c r="HR61" s="212"/>
      <c r="HS61" s="215"/>
      <c r="HT61" s="212"/>
      <c r="HU61" s="212"/>
      <c r="HV61" s="212"/>
      <c r="HW61" s="212"/>
      <c r="HX61" s="212"/>
      <c r="HY61" s="214"/>
      <c r="HZ61" s="212"/>
      <c r="IA61" s="212"/>
      <c r="IB61" s="212"/>
      <c r="IC61" s="212"/>
      <c r="ID61" s="212"/>
      <c r="IE61" s="215"/>
      <c r="IF61" s="212"/>
      <c r="IG61" s="212"/>
      <c r="IH61" s="212"/>
      <c r="II61" s="212"/>
      <c r="IJ61" s="212"/>
      <c r="IK61" s="216"/>
      <c r="IL61" s="211"/>
      <c r="IM61" s="212"/>
      <c r="IN61" s="212"/>
      <c r="IO61" s="212"/>
      <c r="IP61" s="212"/>
      <c r="IQ61" s="213"/>
      <c r="IR61" s="212"/>
      <c r="IS61" s="212"/>
      <c r="IT61" s="212"/>
      <c r="IU61" s="212"/>
      <c r="IV61" s="212"/>
      <c r="IW61" s="214"/>
      <c r="IX61" s="212"/>
      <c r="IY61" s="212"/>
      <c r="IZ61" s="212"/>
      <c r="JA61" s="212"/>
      <c r="JB61" s="212"/>
      <c r="JC61" s="215"/>
      <c r="JD61" s="212"/>
      <c r="JE61" s="212"/>
      <c r="JF61" s="212"/>
      <c r="JG61" s="212"/>
      <c r="JH61" s="212"/>
      <c r="JI61" s="214"/>
      <c r="JJ61" s="212"/>
      <c r="JK61" s="212"/>
      <c r="JL61" s="212"/>
      <c r="JM61" s="212"/>
      <c r="JN61" s="212"/>
      <c r="JO61" s="215"/>
      <c r="JP61" s="212"/>
      <c r="JQ61" s="212"/>
      <c r="JR61" s="212"/>
      <c r="JS61" s="212"/>
      <c r="JT61" s="212"/>
      <c r="JU61" s="214"/>
      <c r="JV61" s="212"/>
      <c r="JW61" s="212"/>
      <c r="JX61" s="212"/>
      <c r="JY61" s="212"/>
      <c r="JZ61" s="212"/>
      <c r="KA61" s="215"/>
      <c r="KB61" s="212"/>
      <c r="KC61" s="212"/>
      <c r="KD61" s="212"/>
      <c r="KE61" s="212"/>
      <c r="KF61" s="212"/>
      <c r="KG61" s="214"/>
      <c r="KH61" s="212"/>
      <c r="KI61" s="212"/>
      <c r="KJ61" s="212"/>
      <c r="KK61" s="212"/>
      <c r="KL61" s="212"/>
      <c r="KM61" s="215"/>
      <c r="KN61" s="212"/>
      <c r="KO61" s="212"/>
      <c r="KP61" s="212"/>
      <c r="KQ61" s="212"/>
      <c r="KR61" s="212"/>
      <c r="KS61" s="216"/>
      <c r="KT61" s="211"/>
      <c r="KU61" s="212"/>
      <c r="KV61" s="212"/>
      <c r="KW61" s="212"/>
      <c r="KX61" s="212"/>
      <c r="KY61" s="213"/>
      <c r="KZ61" s="212"/>
      <c r="LA61" s="212"/>
      <c r="LB61" s="212"/>
      <c r="LC61" s="212"/>
      <c r="LD61" s="212"/>
      <c r="LE61" s="214"/>
      <c r="LF61" s="212"/>
      <c r="LG61" s="212"/>
      <c r="LH61" s="212"/>
      <c r="LI61" s="212"/>
      <c r="LJ61" s="212"/>
      <c r="LK61" s="215"/>
      <c r="LL61" s="212"/>
      <c r="LM61" s="212"/>
      <c r="LN61" s="212"/>
      <c r="LO61" s="212"/>
      <c r="LP61" s="212"/>
      <c r="LQ61" s="214"/>
      <c r="LR61" s="212"/>
      <c r="LS61" s="212"/>
      <c r="LT61" s="212"/>
      <c r="LU61" s="212"/>
      <c r="LV61" s="212"/>
      <c r="LW61" s="215"/>
      <c r="LX61" s="212"/>
      <c r="LY61" s="212"/>
      <c r="LZ61" s="212"/>
      <c r="MA61" s="212"/>
      <c r="MB61" s="212"/>
      <c r="MC61" s="214"/>
      <c r="MD61" s="212"/>
      <c r="ME61" s="212"/>
      <c r="MF61" s="212"/>
      <c r="MG61" s="212"/>
      <c r="MH61" s="212"/>
      <c r="MI61" s="215"/>
      <c r="MJ61" s="212"/>
      <c r="MK61" s="212"/>
      <c r="ML61" s="212"/>
      <c r="MM61" s="212"/>
      <c r="MN61" s="212"/>
      <c r="MO61" s="214"/>
      <c r="MP61" s="212"/>
      <c r="MQ61" s="212"/>
      <c r="MR61" s="212"/>
      <c r="MS61" s="212"/>
      <c r="MT61" s="212"/>
      <c r="MU61" s="215"/>
      <c r="MV61" s="212"/>
      <c r="MW61" s="212"/>
      <c r="MX61" s="212"/>
      <c r="MY61" s="212"/>
      <c r="MZ61" s="212"/>
      <c r="NA61" s="216"/>
      <c r="NB61" s="211"/>
      <c r="NC61" s="212"/>
      <c r="ND61" s="212"/>
      <c r="NE61" s="212"/>
      <c r="NF61" s="212"/>
      <c r="NG61" s="213"/>
      <c r="NH61" s="212"/>
      <c r="NI61" s="212"/>
      <c r="NJ61" s="212"/>
      <c r="NK61" s="212"/>
      <c r="NL61" s="212"/>
      <c r="NM61" s="214"/>
      <c r="NN61" s="212"/>
      <c r="NO61" s="212"/>
      <c r="NP61" s="212"/>
      <c r="NQ61" s="212"/>
      <c r="NR61" s="212"/>
      <c r="NS61" s="215"/>
      <c r="NT61" s="212"/>
      <c r="NU61" s="212"/>
      <c r="NV61" s="212"/>
      <c r="NW61" s="212"/>
      <c r="NX61" s="212"/>
      <c r="NY61" s="214"/>
      <c r="NZ61" s="212"/>
      <c r="OA61" s="212"/>
      <c r="OB61" s="212"/>
      <c r="OC61" s="212"/>
      <c r="OD61" s="212"/>
      <c r="OE61" s="215"/>
      <c r="OF61" s="212"/>
      <c r="OG61" s="212"/>
      <c r="OH61" s="212"/>
      <c r="OI61" s="212"/>
      <c r="OJ61" s="212"/>
      <c r="OK61" s="214"/>
      <c r="OL61" s="212"/>
      <c r="OM61" s="212"/>
      <c r="ON61" s="212"/>
      <c r="OO61" s="212"/>
      <c r="OP61" s="212"/>
      <c r="OQ61" s="215"/>
      <c r="OR61" s="212"/>
      <c r="OS61" s="212"/>
      <c r="OT61" s="212"/>
      <c r="OU61" s="212"/>
      <c r="OV61" s="212"/>
      <c r="OW61" s="214"/>
      <c r="OX61" s="212"/>
      <c r="OY61" s="212"/>
      <c r="OZ61" s="212"/>
      <c r="PA61" s="212"/>
      <c r="PB61" s="212"/>
      <c r="PC61" s="215"/>
      <c r="PD61" s="212"/>
      <c r="PE61" s="212"/>
      <c r="PF61" s="212"/>
      <c r="PG61" s="212"/>
      <c r="PH61" s="212"/>
      <c r="PI61" s="216"/>
      <c r="PJ61" s="211"/>
      <c r="PK61" s="212"/>
      <c r="PL61" s="212"/>
      <c r="PM61" s="212"/>
      <c r="PN61" s="212"/>
      <c r="PO61" s="213"/>
      <c r="PP61" s="212"/>
      <c r="PQ61" s="212"/>
      <c r="PR61" s="212"/>
      <c r="PS61" s="212"/>
      <c r="PT61" s="212"/>
      <c r="PU61" s="214"/>
      <c r="PV61" s="212"/>
      <c r="PW61" s="212"/>
      <c r="PX61" s="212"/>
      <c r="PY61" s="212"/>
      <c r="PZ61" s="212"/>
      <c r="QA61" s="215"/>
      <c r="QB61" s="212"/>
      <c r="QC61" s="212"/>
      <c r="QD61" s="212"/>
      <c r="QE61" s="212"/>
      <c r="QF61" s="212"/>
      <c r="QG61" s="214"/>
      <c r="QH61" s="212"/>
      <c r="QI61" s="212"/>
      <c r="QJ61" s="212"/>
      <c r="QK61" s="212"/>
      <c r="QL61" s="212"/>
      <c r="QM61" s="215"/>
      <c r="QN61" s="212"/>
      <c r="QO61" s="212"/>
      <c r="QP61" s="212"/>
      <c r="QQ61" s="212"/>
      <c r="QR61" s="212"/>
      <c r="QS61" s="214"/>
      <c r="QT61" s="212"/>
      <c r="QU61" s="212"/>
      <c r="QV61" s="212"/>
      <c r="QW61" s="212"/>
      <c r="QX61" s="212"/>
      <c r="QY61" s="215"/>
      <c r="QZ61" s="212"/>
      <c r="RA61" s="212"/>
      <c r="RB61" s="212"/>
      <c r="RC61" s="212"/>
      <c r="RD61" s="212"/>
      <c r="RE61" s="214"/>
      <c r="RF61" s="212"/>
      <c r="RG61" s="212"/>
      <c r="RH61" s="212"/>
      <c r="RI61" s="212"/>
      <c r="RJ61" s="212"/>
      <c r="RK61" s="215"/>
      <c r="RL61" s="212"/>
      <c r="RM61" s="212"/>
      <c r="RN61" s="212"/>
      <c r="RO61" s="212"/>
      <c r="RP61" s="212"/>
      <c r="RQ61" s="216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10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73"/>
    </row>
    <row r="62" spans="1:1326" ht="20.100000000000001" customHeight="1" x14ac:dyDescent="0.25">
      <c r="A62" s="78" t="s">
        <v>27</v>
      </c>
      <c r="B62" s="51"/>
      <c r="C62" s="169"/>
      <c r="D62" s="120" t="str">
        <f t="shared" si="0"/>
        <v>90h</v>
      </c>
      <c r="E62" s="80">
        <v>1080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73"/>
    </row>
    <row r="63" spans="1:1326" ht="20.100000000000001" customHeight="1" x14ac:dyDescent="0.25">
      <c r="A63" s="78" t="s">
        <v>26</v>
      </c>
      <c r="B63" s="51"/>
      <c r="C63" s="163" t="s">
        <v>57</v>
      </c>
      <c r="D63" s="119" t="str">
        <f t="shared" si="0"/>
        <v>90h</v>
      </c>
      <c r="E63" s="34">
        <v>1080</v>
      </c>
      <c r="F63" s="217"/>
      <c r="G63" s="218"/>
      <c r="H63" s="218"/>
      <c r="I63" s="218"/>
      <c r="J63" s="218"/>
      <c r="K63" s="219"/>
      <c r="L63" s="218"/>
      <c r="M63" s="218"/>
      <c r="N63" s="218"/>
      <c r="O63" s="218"/>
      <c r="P63" s="218"/>
      <c r="Q63" s="220"/>
      <c r="R63" s="218"/>
      <c r="S63" s="218"/>
      <c r="T63" s="218"/>
      <c r="U63" s="218"/>
      <c r="V63" s="218"/>
      <c r="W63" s="221"/>
      <c r="X63" s="218"/>
      <c r="Y63" s="218"/>
      <c r="Z63" s="218"/>
      <c r="AA63" s="218"/>
      <c r="AB63" s="218"/>
      <c r="AC63" s="220"/>
      <c r="AD63" s="218"/>
      <c r="AE63" s="218"/>
      <c r="AF63" s="218"/>
      <c r="AG63" s="218"/>
      <c r="AH63" s="218"/>
      <c r="AI63" s="221"/>
      <c r="AJ63" s="218"/>
      <c r="AK63" s="218"/>
      <c r="AL63" s="218"/>
      <c r="AM63" s="218"/>
      <c r="AN63" s="218"/>
      <c r="AO63" s="220"/>
      <c r="AP63" s="218"/>
      <c r="AQ63" s="218"/>
      <c r="AR63" s="218"/>
      <c r="AS63" s="218"/>
      <c r="AT63" s="218"/>
      <c r="AU63" s="221"/>
      <c r="AV63" s="218"/>
      <c r="AW63" s="218"/>
      <c r="AX63" s="218"/>
      <c r="AY63" s="218"/>
      <c r="AZ63" s="218"/>
      <c r="BA63" s="220"/>
      <c r="BB63" s="218"/>
      <c r="BC63" s="218"/>
      <c r="BD63" s="218"/>
      <c r="BE63" s="218"/>
      <c r="BF63" s="218"/>
      <c r="BG63" s="221"/>
      <c r="BH63" s="218"/>
      <c r="BI63" s="218"/>
      <c r="BJ63" s="218"/>
      <c r="BK63" s="218"/>
      <c r="BL63" s="218"/>
      <c r="BM63" s="222"/>
      <c r="BN63" s="217"/>
      <c r="BO63" s="218"/>
      <c r="BP63" s="218"/>
      <c r="BQ63" s="218"/>
      <c r="BR63" s="218"/>
      <c r="BS63" s="219"/>
      <c r="BT63" s="218"/>
      <c r="BU63" s="218"/>
      <c r="BV63" s="218"/>
      <c r="BW63" s="218"/>
      <c r="BX63" s="218"/>
      <c r="BY63" s="220"/>
      <c r="BZ63" s="218"/>
      <c r="CA63" s="218"/>
      <c r="CB63" s="218"/>
      <c r="CC63" s="218"/>
      <c r="CD63" s="218"/>
      <c r="CE63" s="221"/>
      <c r="CF63" s="218"/>
      <c r="CG63" s="218"/>
      <c r="CH63" s="218"/>
      <c r="CI63" s="218"/>
      <c r="CJ63" s="218"/>
      <c r="CK63" s="220"/>
      <c r="CL63" s="218"/>
      <c r="CM63" s="218"/>
      <c r="CN63" s="218"/>
      <c r="CO63" s="218"/>
      <c r="CP63" s="218"/>
      <c r="CQ63" s="221"/>
      <c r="CR63" s="218"/>
      <c r="CS63" s="218"/>
      <c r="CT63" s="218"/>
      <c r="CU63" s="218"/>
      <c r="CV63" s="218"/>
      <c r="CW63" s="220"/>
      <c r="CX63" s="218"/>
      <c r="CY63" s="218"/>
      <c r="CZ63" s="218"/>
      <c r="DA63" s="218"/>
      <c r="DB63" s="218"/>
      <c r="DC63" s="221"/>
      <c r="DD63" s="218"/>
      <c r="DE63" s="218"/>
      <c r="DF63" s="218"/>
      <c r="DG63" s="218"/>
      <c r="DH63" s="218"/>
      <c r="DI63" s="220"/>
      <c r="DJ63" s="218"/>
      <c r="DK63" s="218"/>
      <c r="DL63" s="218"/>
      <c r="DM63" s="218"/>
      <c r="DN63" s="218"/>
      <c r="DO63" s="221"/>
      <c r="DP63" s="218"/>
      <c r="DQ63" s="218"/>
      <c r="DR63" s="218"/>
      <c r="DS63" s="218"/>
      <c r="DT63" s="218"/>
      <c r="DU63" s="222"/>
      <c r="DV63" s="217"/>
      <c r="DW63" s="218"/>
      <c r="DX63" s="218"/>
      <c r="DY63" s="218"/>
      <c r="DZ63" s="218"/>
      <c r="EA63" s="219"/>
      <c r="EB63" s="218"/>
      <c r="EC63" s="218"/>
      <c r="ED63" s="218"/>
      <c r="EE63" s="218"/>
      <c r="EF63" s="218"/>
      <c r="EG63" s="220"/>
      <c r="EH63" s="218"/>
      <c r="EI63" s="218"/>
      <c r="EJ63" s="218"/>
      <c r="EK63" s="218"/>
      <c r="EL63" s="218"/>
      <c r="EM63" s="221"/>
      <c r="EN63" s="218"/>
      <c r="EO63" s="218"/>
      <c r="EP63" s="218"/>
      <c r="EQ63" s="218"/>
      <c r="ER63" s="218"/>
      <c r="ES63" s="220"/>
      <c r="ET63" s="218"/>
      <c r="EU63" s="218"/>
      <c r="EV63" s="218"/>
      <c r="EW63" s="218"/>
      <c r="EX63" s="218"/>
      <c r="EY63" s="221"/>
      <c r="EZ63" s="218"/>
      <c r="FA63" s="218"/>
      <c r="FB63" s="218"/>
      <c r="FC63" s="218"/>
      <c r="FD63" s="218"/>
      <c r="FE63" s="220"/>
      <c r="FF63" s="218"/>
      <c r="FG63" s="218"/>
      <c r="FH63" s="218"/>
      <c r="FI63" s="218"/>
      <c r="FJ63" s="218"/>
      <c r="FK63" s="221"/>
      <c r="FL63" s="218"/>
      <c r="FM63" s="218"/>
      <c r="FN63" s="218"/>
      <c r="FO63" s="218"/>
      <c r="FP63" s="218"/>
      <c r="FQ63" s="220"/>
      <c r="FR63" s="218"/>
      <c r="FS63" s="218"/>
      <c r="FT63" s="218"/>
      <c r="FU63" s="218"/>
      <c r="FV63" s="218"/>
      <c r="FW63" s="221"/>
      <c r="FX63" s="218"/>
      <c r="FY63" s="218"/>
      <c r="FZ63" s="218"/>
      <c r="GA63" s="218"/>
      <c r="GB63" s="218"/>
      <c r="GC63" s="222"/>
      <c r="GD63" s="217"/>
      <c r="GE63" s="218"/>
      <c r="GF63" s="218"/>
      <c r="GG63" s="218"/>
      <c r="GH63" s="218"/>
      <c r="GI63" s="219"/>
      <c r="GJ63" s="218"/>
      <c r="GK63" s="218"/>
      <c r="GL63" s="218"/>
      <c r="GM63" s="218"/>
      <c r="GN63" s="218"/>
      <c r="GO63" s="220"/>
      <c r="GP63" s="218"/>
      <c r="GQ63" s="218"/>
      <c r="GR63" s="218"/>
      <c r="GS63" s="218"/>
      <c r="GT63" s="218"/>
      <c r="GU63" s="221"/>
      <c r="GV63" s="218"/>
      <c r="GW63" s="218"/>
      <c r="GX63" s="218"/>
      <c r="GY63" s="218"/>
      <c r="GZ63" s="218"/>
      <c r="HA63" s="220"/>
      <c r="HB63" s="218"/>
      <c r="HC63" s="218"/>
      <c r="HD63" s="218"/>
      <c r="HE63" s="218"/>
      <c r="HF63" s="218"/>
      <c r="HG63" s="221"/>
      <c r="HH63" s="218"/>
      <c r="HI63" s="218"/>
      <c r="HJ63" s="218"/>
      <c r="HK63" s="218"/>
      <c r="HL63" s="218"/>
      <c r="HM63" s="220"/>
      <c r="HN63" s="218"/>
      <c r="HO63" s="218"/>
      <c r="HP63" s="218"/>
      <c r="HQ63" s="218"/>
      <c r="HR63" s="218"/>
      <c r="HS63" s="221"/>
      <c r="HT63" s="218"/>
      <c r="HU63" s="218"/>
      <c r="HV63" s="218"/>
      <c r="HW63" s="218"/>
      <c r="HX63" s="218"/>
      <c r="HY63" s="220"/>
      <c r="HZ63" s="218"/>
      <c r="IA63" s="218"/>
      <c r="IB63" s="218"/>
      <c r="IC63" s="218"/>
      <c r="ID63" s="218"/>
      <c r="IE63" s="221"/>
      <c r="IF63" s="218"/>
      <c r="IG63" s="218"/>
      <c r="IH63" s="218"/>
      <c r="II63" s="218"/>
      <c r="IJ63" s="218"/>
      <c r="IK63" s="222"/>
      <c r="IL63" s="217"/>
      <c r="IM63" s="218"/>
      <c r="IN63" s="218"/>
      <c r="IO63" s="218"/>
      <c r="IP63" s="218"/>
      <c r="IQ63" s="219"/>
      <c r="IR63" s="218"/>
      <c r="IS63" s="218"/>
      <c r="IT63" s="218"/>
      <c r="IU63" s="218"/>
      <c r="IV63" s="218"/>
      <c r="IW63" s="220"/>
      <c r="IX63" s="218"/>
      <c r="IY63" s="218"/>
      <c r="IZ63" s="218"/>
      <c r="JA63" s="218"/>
      <c r="JB63" s="218"/>
      <c r="JC63" s="221"/>
      <c r="JD63" s="218"/>
      <c r="JE63" s="218"/>
      <c r="JF63" s="218"/>
      <c r="JG63" s="218"/>
      <c r="JH63" s="218"/>
      <c r="JI63" s="220"/>
      <c r="JJ63" s="218"/>
      <c r="JK63" s="218"/>
      <c r="JL63" s="218"/>
      <c r="JM63" s="218"/>
      <c r="JN63" s="218"/>
      <c r="JO63" s="221"/>
      <c r="JP63" s="218"/>
      <c r="JQ63" s="218"/>
      <c r="JR63" s="218"/>
      <c r="JS63" s="218"/>
      <c r="JT63" s="218"/>
      <c r="JU63" s="220"/>
      <c r="JV63" s="218"/>
      <c r="JW63" s="218"/>
      <c r="JX63" s="218"/>
      <c r="JY63" s="218"/>
      <c r="JZ63" s="218"/>
      <c r="KA63" s="221"/>
      <c r="KB63" s="218"/>
      <c r="KC63" s="218"/>
      <c r="KD63" s="218"/>
      <c r="KE63" s="218"/>
      <c r="KF63" s="218"/>
      <c r="KG63" s="220"/>
      <c r="KH63" s="218"/>
      <c r="KI63" s="218"/>
      <c r="KJ63" s="218"/>
      <c r="KK63" s="218"/>
      <c r="KL63" s="218"/>
      <c r="KM63" s="221"/>
      <c r="KN63" s="218"/>
      <c r="KO63" s="218"/>
      <c r="KP63" s="218"/>
      <c r="KQ63" s="218"/>
      <c r="KR63" s="218"/>
      <c r="KS63" s="222"/>
      <c r="KT63" s="217"/>
      <c r="KU63" s="218"/>
      <c r="KV63" s="218"/>
      <c r="KW63" s="218"/>
      <c r="KX63" s="218"/>
      <c r="KY63" s="219"/>
      <c r="KZ63" s="218"/>
      <c r="LA63" s="218"/>
      <c r="LB63" s="218"/>
      <c r="LC63" s="218"/>
      <c r="LD63" s="218"/>
      <c r="LE63" s="220"/>
      <c r="LF63" s="218"/>
      <c r="LG63" s="218"/>
      <c r="LH63" s="218"/>
      <c r="LI63" s="218"/>
      <c r="LJ63" s="218"/>
      <c r="LK63" s="221"/>
      <c r="LL63" s="218"/>
      <c r="LM63" s="218"/>
      <c r="LN63" s="218"/>
      <c r="LO63" s="218"/>
      <c r="LP63" s="218"/>
      <c r="LQ63" s="220"/>
      <c r="LR63" s="218"/>
      <c r="LS63" s="218"/>
      <c r="LT63" s="218"/>
      <c r="LU63" s="218"/>
      <c r="LV63" s="218"/>
      <c r="LW63" s="221"/>
      <c r="LX63" s="218"/>
      <c r="LY63" s="218"/>
      <c r="LZ63" s="218"/>
      <c r="MA63" s="218"/>
      <c r="MB63" s="218"/>
      <c r="MC63" s="220"/>
      <c r="MD63" s="218"/>
      <c r="ME63" s="218"/>
      <c r="MF63" s="218"/>
      <c r="MG63" s="218"/>
      <c r="MH63" s="218"/>
      <c r="MI63" s="221"/>
      <c r="MJ63" s="218"/>
      <c r="MK63" s="218"/>
      <c r="ML63" s="218"/>
      <c r="MM63" s="218"/>
      <c r="MN63" s="218"/>
      <c r="MO63" s="220"/>
      <c r="MP63" s="218"/>
      <c r="MQ63" s="218"/>
      <c r="MR63" s="218"/>
      <c r="MS63" s="218"/>
      <c r="MT63" s="218"/>
      <c r="MU63" s="221"/>
      <c r="MV63" s="218"/>
      <c r="MW63" s="218"/>
      <c r="MX63" s="218"/>
      <c r="MY63" s="218"/>
      <c r="MZ63" s="218"/>
      <c r="NA63" s="222"/>
      <c r="NB63" s="217"/>
      <c r="NC63" s="218"/>
      <c r="ND63" s="218"/>
      <c r="NE63" s="218"/>
      <c r="NF63" s="218"/>
      <c r="NG63" s="219"/>
      <c r="NH63" s="218"/>
      <c r="NI63" s="218"/>
      <c r="NJ63" s="218"/>
      <c r="NK63" s="218"/>
      <c r="NL63" s="218"/>
      <c r="NM63" s="220"/>
      <c r="NN63" s="218"/>
      <c r="NO63" s="218"/>
      <c r="NP63" s="218"/>
      <c r="NQ63" s="218"/>
      <c r="NR63" s="218"/>
      <c r="NS63" s="221"/>
      <c r="NT63" s="218"/>
      <c r="NU63" s="218"/>
      <c r="NV63" s="218"/>
      <c r="NW63" s="218"/>
      <c r="NX63" s="218"/>
      <c r="NY63" s="220"/>
      <c r="NZ63" s="218"/>
      <c r="OA63" s="218"/>
      <c r="OB63" s="218"/>
      <c r="OC63" s="218"/>
      <c r="OD63" s="218"/>
      <c r="OE63" s="221"/>
      <c r="OF63" s="218"/>
      <c r="OG63" s="218"/>
      <c r="OH63" s="218"/>
      <c r="OI63" s="218"/>
      <c r="OJ63" s="218"/>
      <c r="OK63" s="220"/>
      <c r="OL63" s="218"/>
      <c r="OM63" s="218"/>
      <c r="ON63" s="218"/>
      <c r="OO63" s="218"/>
      <c r="OP63" s="218"/>
      <c r="OQ63" s="221"/>
      <c r="OR63" s="218"/>
      <c r="OS63" s="218"/>
      <c r="OT63" s="218"/>
      <c r="OU63" s="218"/>
      <c r="OV63" s="218"/>
      <c r="OW63" s="220"/>
      <c r="OX63" s="218"/>
      <c r="OY63" s="218"/>
      <c r="OZ63" s="218"/>
      <c r="PA63" s="218"/>
      <c r="PB63" s="218"/>
      <c r="PC63" s="221"/>
      <c r="PD63" s="218"/>
      <c r="PE63" s="218"/>
      <c r="PF63" s="218"/>
      <c r="PG63" s="218"/>
      <c r="PH63" s="218"/>
      <c r="PI63" s="222"/>
      <c r="PJ63" s="217"/>
      <c r="PK63" s="218"/>
      <c r="PL63" s="218"/>
      <c r="PM63" s="218"/>
      <c r="PN63" s="218"/>
      <c r="PO63" s="219"/>
      <c r="PP63" s="218"/>
      <c r="PQ63" s="218"/>
      <c r="PR63" s="218"/>
      <c r="PS63" s="218"/>
      <c r="PT63" s="218"/>
      <c r="PU63" s="220"/>
      <c r="PV63" s="218"/>
      <c r="PW63" s="218"/>
      <c r="PX63" s="218"/>
      <c r="PY63" s="218"/>
      <c r="PZ63" s="218"/>
      <c r="QA63" s="221"/>
      <c r="QB63" s="218"/>
      <c r="QC63" s="218"/>
      <c r="QD63" s="218"/>
      <c r="QE63" s="218"/>
      <c r="QF63" s="218"/>
      <c r="QG63" s="220"/>
      <c r="QH63" s="218"/>
      <c r="QI63" s="218"/>
      <c r="QJ63" s="218"/>
      <c r="QK63" s="218"/>
      <c r="QL63" s="218"/>
      <c r="QM63" s="221"/>
      <c r="QN63" s="218"/>
      <c r="QO63" s="218"/>
      <c r="QP63" s="218"/>
      <c r="QQ63" s="218"/>
      <c r="QR63" s="218"/>
      <c r="QS63" s="220"/>
      <c r="QT63" s="218"/>
      <c r="QU63" s="218"/>
      <c r="QV63" s="218"/>
      <c r="QW63" s="218"/>
      <c r="QX63" s="218"/>
      <c r="QY63" s="221"/>
      <c r="QZ63" s="218"/>
      <c r="RA63" s="218"/>
      <c r="RB63" s="218"/>
      <c r="RC63" s="218"/>
      <c r="RD63" s="218"/>
      <c r="RE63" s="220"/>
      <c r="RF63" s="218"/>
      <c r="RG63" s="218"/>
      <c r="RH63" s="218"/>
      <c r="RI63" s="218"/>
      <c r="RJ63" s="218"/>
      <c r="RK63" s="221"/>
      <c r="RL63" s="218"/>
      <c r="RM63" s="218"/>
      <c r="RN63" s="218"/>
      <c r="RO63" s="218"/>
      <c r="RP63" s="218"/>
      <c r="RQ63" s="222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7"/>
      <c r="YV63" s="36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73"/>
    </row>
    <row r="64" spans="1:1326" ht="20.100000000000001" customHeight="1" x14ac:dyDescent="0.3">
      <c r="A64" s="78" t="s">
        <v>27</v>
      </c>
      <c r="B64" s="51"/>
      <c r="C64" s="164"/>
      <c r="D64" s="121" t="str">
        <f t="shared" si="0"/>
        <v>90h</v>
      </c>
      <c r="E64" s="22">
        <v>1080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73"/>
    </row>
    <row r="65" spans="1:1326" ht="20.100000000000001" customHeight="1" x14ac:dyDescent="0.25">
      <c r="A65" s="78" t="s">
        <v>26</v>
      </c>
      <c r="B65" s="51"/>
      <c r="C65" s="163" t="s">
        <v>76</v>
      </c>
      <c r="D65" s="119" t="str">
        <f t="shared" si="0"/>
        <v>90h</v>
      </c>
      <c r="E65" s="26">
        <v>1080</v>
      </c>
      <c r="F65" s="211"/>
      <c r="G65" s="212"/>
      <c r="H65" s="212"/>
      <c r="I65" s="212"/>
      <c r="J65" s="212"/>
      <c r="K65" s="213"/>
      <c r="L65" s="212"/>
      <c r="M65" s="212"/>
      <c r="N65" s="212"/>
      <c r="O65" s="212"/>
      <c r="P65" s="212"/>
      <c r="Q65" s="214"/>
      <c r="R65" s="212"/>
      <c r="S65" s="212"/>
      <c r="T65" s="212"/>
      <c r="U65" s="212"/>
      <c r="V65" s="212"/>
      <c r="W65" s="215"/>
      <c r="X65" s="212"/>
      <c r="Y65" s="212"/>
      <c r="Z65" s="212"/>
      <c r="AA65" s="212"/>
      <c r="AB65" s="212"/>
      <c r="AC65" s="214"/>
      <c r="AD65" s="212"/>
      <c r="AE65" s="212"/>
      <c r="AF65" s="212"/>
      <c r="AG65" s="212"/>
      <c r="AH65" s="212"/>
      <c r="AI65" s="215"/>
      <c r="AJ65" s="212"/>
      <c r="AK65" s="212"/>
      <c r="AL65" s="212"/>
      <c r="AM65" s="212"/>
      <c r="AN65" s="212"/>
      <c r="AO65" s="214"/>
      <c r="AP65" s="212"/>
      <c r="AQ65" s="212"/>
      <c r="AR65" s="212"/>
      <c r="AS65" s="212"/>
      <c r="AT65" s="212"/>
      <c r="AU65" s="215"/>
      <c r="AV65" s="212"/>
      <c r="AW65" s="212"/>
      <c r="AX65" s="212"/>
      <c r="AY65" s="212"/>
      <c r="AZ65" s="212"/>
      <c r="BA65" s="214"/>
      <c r="BB65" s="212"/>
      <c r="BC65" s="212"/>
      <c r="BD65" s="212"/>
      <c r="BE65" s="212"/>
      <c r="BF65" s="212"/>
      <c r="BG65" s="215"/>
      <c r="BH65" s="212"/>
      <c r="BI65" s="212"/>
      <c r="BJ65" s="212"/>
      <c r="BK65" s="212"/>
      <c r="BL65" s="212"/>
      <c r="BM65" s="216"/>
      <c r="BN65" s="211"/>
      <c r="BO65" s="212"/>
      <c r="BP65" s="212"/>
      <c r="BQ65" s="212"/>
      <c r="BR65" s="212"/>
      <c r="BS65" s="213"/>
      <c r="BT65" s="212"/>
      <c r="BU65" s="212"/>
      <c r="BV65" s="212"/>
      <c r="BW65" s="212"/>
      <c r="BX65" s="212"/>
      <c r="BY65" s="214"/>
      <c r="BZ65" s="212"/>
      <c r="CA65" s="212"/>
      <c r="CB65" s="212"/>
      <c r="CC65" s="212"/>
      <c r="CD65" s="212"/>
      <c r="CE65" s="215"/>
      <c r="CF65" s="212"/>
      <c r="CG65" s="212"/>
      <c r="CH65" s="212"/>
      <c r="CI65" s="212"/>
      <c r="CJ65" s="212"/>
      <c r="CK65" s="214"/>
      <c r="CL65" s="212"/>
      <c r="CM65" s="212"/>
      <c r="CN65" s="212"/>
      <c r="CO65" s="212"/>
      <c r="CP65" s="212"/>
      <c r="CQ65" s="215"/>
      <c r="CR65" s="212"/>
      <c r="CS65" s="212"/>
      <c r="CT65" s="212"/>
      <c r="CU65" s="212"/>
      <c r="CV65" s="212"/>
      <c r="CW65" s="214"/>
      <c r="CX65" s="212"/>
      <c r="CY65" s="212"/>
      <c r="CZ65" s="212"/>
      <c r="DA65" s="212"/>
      <c r="DB65" s="212"/>
      <c r="DC65" s="215"/>
      <c r="DD65" s="212"/>
      <c r="DE65" s="212"/>
      <c r="DF65" s="212"/>
      <c r="DG65" s="212"/>
      <c r="DH65" s="212"/>
      <c r="DI65" s="214"/>
      <c r="DJ65" s="212"/>
      <c r="DK65" s="212"/>
      <c r="DL65" s="212"/>
      <c r="DM65" s="212"/>
      <c r="DN65" s="212"/>
      <c r="DO65" s="215"/>
      <c r="DP65" s="212"/>
      <c r="DQ65" s="212"/>
      <c r="DR65" s="212"/>
      <c r="DS65" s="212"/>
      <c r="DT65" s="212"/>
      <c r="DU65" s="216"/>
      <c r="DV65" s="211"/>
      <c r="DW65" s="212"/>
      <c r="DX65" s="212"/>
      <c r="DY65" s="212"/>
      <c r="DZ65" s="212"/>
      <c r="EA65" s="213"/>
      <c r="EB65" s="212"/>
      <c r="EC65" s="212"/>
      <c r="ED65" s="212"/>
      <c r="EE65" s="212"/>
      <c r="EF65" s="212"/>
      <c r="EG65" s="214"/>
      <c r="EH65" s="212"/>
      <c r="EI65" s="212"/>
      <c r="EJ65" s="212"/>
      <c r="EK65" s="212"/>
      <c r="EL65" s="212"/>
      <c r="EM65" s="215"/>
      <c r="EN65" s="212"/>
      <c r="EO65" s="212"/>
      <c r="EP65" s="212"/>
      <c r="EQ65" s="212"/>
      <c r="ER65" s="212"/>
      <c r="ES65" s="214"/>
      <c r="ET65" s="212"/>
      <c r="EU65" s="212"/>
      <c r="EV65" s="212"/>
      <c r="EW65" s="212"/>
      <c r="EX65" s="212"/>
      <c r="EY65" s="215"/>
      <c r="EZ65" s="212"/>
      <c r="FA65" s="212"/>
      <c r="FB65" s="212"/>
      <c r="FC65" s="212"/>
      <c r="FD65" s="212"/>
      <c r="FE65" s="214"/>
      <c r="FF65" s="212"/>
      <c r="FG65" s="212"/>
      <c r="FH65" s="212"/>
      <c r="FI65" s="212"/>
      <c r="FJ65" s="212"/>
      <c r="FK65" s="215"/>
      <c r="FL65" s="212"/>
      <c r="FM65" s="212"/>
      <c r="FN65" s="212"/>
      <c r="FO65" s="212"/>
      <c r="FP65" s="212"/>
      <c r="FQ65" s="214"/>
      <c r="FR65" s="212"/>
      <c r="FS65" s="212"/>
      <c r="FT65" s="212"/>
      <c r="FU65" s="212"/>
      <c r="FV65" s="212"/>
      <c r="FW65" s="215"/>
      <c r="FX65" s="212"/>
      <c r="FY65" s="212"/>
      <c r="FZ65" s="212"/>
      <c r="GA65" s="212"/>
      <c r="GB65" s="212"/>
      <c r="GC65" s="216"/>
      <c r="GD65" s="211"/>
      <c r="GE65" s="212"/>
      <c r="GF65" s="212"/>
      <c r="GG65" s="212"/>
      <c r="GH65" s="212"/>
      <c r="GI65" s="213"/>
      <c r="GJ65" s="212"/>
      <c r="GK65" s="212"/>
      <c r="GL65" s="212"/>
      <c r="GM65" s="212"/>
      <c r="GN65" s="212"/>
      <c r="GO65" s="214"/>
      <c r="GP65" s="212"/>
      <c r="GQ65" s="212"/>
      <c r="GR65" s="212"/>
      <c r="GS65" s="212"/>
      <c r="GT65" s="212"/>
      <c r="GU65" s="215"/>
      <c r="GV65" s="212"/>
      <c r="GW65" s="212"/>
      <c r="GX65" s="212"/>
      <c r="GY65" s="212"/>
      <c r="GZ65" s="212"/>
      <c r="HA65" s="214"/>
      <c r="HB65" s="212"/>
      <c r="HC65" s="212"/>
      <c r="HD65" s="212"/>
      <c r="HE65" s="212"/>
      <c r="HF65" s="212"/>
      <c r="HG65" s="215"/>
      <c r="HH65" s="212"/>
      <c r="HI65" s="212"/>
      <c r="HJ65" s="212"/>
      <c r="HK65" s="212"/>
      <c r="HL65" s="212"/>
      <c r="HM65" s="214"/>
      <c r="HN65" s="212"/>
      <c r="HO65" s="212"/>
      <c r="HP65" s="212"/>
      <c r="HQ65" s="212"/>
      <c r="HR65" s="212"/>
      <c r="HS65" s="215"/>
      <c r="HT65" s="212"/>
      <c r="HU65" s="212"/>
      <c r="HV65" s="212"/>
      <c r="HW65" s="212"/>
      <c r="HX65" s="212"/>
      <c r="HY65" s="214"/>
      <c r="HZ65" s="212"/>
      <c r="IA65" s="212"/>
      <c r="IB65" s="212"/>
      <c r="IC65" s="212"/>
      <c r="ID65" s="212"/>
      <c r="IE65" s="215"/>
      <c r="IF65" s="212"/>
      <c r="IG65" s="212"/>
      <c r="IH65" s="212"/>
      <c r="II65" s="212"/>
      <c r="IJ65" s="212"/>
      <c r="IK65" s="216"/>
      <c r="IL65" s="211"/>
      <c r="IM65" s="212"/>
      <c r="IN65" s="212"/>
      <c r="IO65" s="212"/>
      <c r="IP65" s="212"/>
      <c r="IQ65" s="213"/>
      <c r="IR65" s="212"/>
      <c r="IS65" s="212"/>
      <c r="IT65" s="212"/>
      <c r="IU65" s="212"/>
      <c r="IV65" s="212"/>
      <c r="IW65" s="214"/>
      <c r="IX65" s="212"/>
      <c r="IY65" s="212"/>
      <c r="IZ65" s="212"/>
      <c r="JA65" s="212"/>
      <c r="JB65" s="212"/>
      <c r="JC65" s="215"/>
      <c r="JD65" s="212"/>
      <c r="JE65" s="212"/>
      <c r="JF65" s="212"/>
      <c r="JG65" s="212"/>
      <c r="JH65" s="212"/>
      <c r="JI65" s="214"/>
      <c r="JJ65" s="212"/>
      <c r="JK65" s="212"/>
      <c r="JL65" s="212"/>
      <c r="JM65" s="212"/>
      <c r="JN65" s="212"/>
      <c r="JO65" s="215"/>
      <c r="JP65" s="212"/>
      <c r="JQ65" s="212"/>
      <c r="JR65" s="212"/>
      <c r="JS65" s="212"/>
      <c r="JT65" s="212"/>
      <c r="JU65" s="214"/>
      <c r="JV65" s="212"/>
      <c r="JW65" s="212"/>
      <c r="JX65" s="212"/>
      <c r="JY65" s="212"/>
      <c r="JZ65" s="212"/>
      <c r="KA65" s="215"/>
      <c r="KB65" s="212"/>
      <c r="KC65" s="212"/>
      <c r="KD65" s="212"/>
      <c r="KE65" s="212"/>
      <c r="KF65" s="212"/>
      <c r="KG65" s="214"/>
      <c r="KH65" s="212"/>
      <c r="KI65" s="212"/>
      <c r="KJ65" s="212"/>
      <c r="KK65" s="212"/>
      <c r="KL65" s="212"/>
      <c r="KM65" s="215"/>
      <c r="KN65" s="212"/>
      <c r="KO65" s="212"/>
      <c r="KP65" s="212"/>
      <c r="KQ65" s="212"/>
      <c r="KR65" s="212"/>
      <c r="KS65" s="216"/>
      <c r="KT65" s="211"/>
      <c r="KU65" s="212"/>
      <c r="KV65" s="212"/>
      <c r="KW65" s="212"/>
      <c r="KX65" s="212"/>
      <c r="KY65" s="213"/>
      <c r="KZ65" s="212"/>
      <c r="LA65" s="212"/>
      <c r="LB65" s="212"/>
      <c r="LC65" s="212"/>
      <c r="LD65" s="212"/>
      <c r="LE65" s="214"/>
      <c r="LF65" s="212"/>
      <c r="LG65" s="212"/>
      <c r="LH65" s="212"/>
      <c r="LI65" s="212"/>
      <c r="LJ65" s="212"/>
      <c r="LK65" s="215"/>
      <c r="LL65" s="212"/>
      <c r="LM65" s="212"/>
      <c r="LN65" s="212"/>
      <c r="LO65" s="212"/>
      <c r="LP65" s="212"/>
      <c r="LQ65" s="214"/>
      <c r="LR65" s="212"/>
      <c r="LS65" s="212"/>
      <c r="LT65" s="212"/>
      <c r="LU65" s="212"/>
      <c r="LV65" s="212"/>
      <c r="LW65" s="215"/>
      <c r="LX65" s="212"/>
      <c r="LY65" s="212"/>
      <c r="LZ65" s="212"/>
      <c r="MA65" s="212"/>
      <c r="MB65" s="212"/>
      <c r="MC65" s="214"/>
      <c r="MD65" s="212"/>
      <c r="ME65" s="212"/>
      <c r="MF65" s="212"/>
      <c r="MG65" s="212"/>
      <c r="MH65" s="212"/>
      <c r="MI65" s="215"/>
      <c r="MJ65" s="212"/>
      <c r="MK65" s="212"/>
      <c r="ML65" s="212"/>
      <c r="MM65" s="212"/>
      <c r="MN65" s="212"/>
      <c r="MO65" s="214"/>
      <c r="MP65" s="212"/>
      <c r="MQ65" s="212"/>
      <c r="MR65" s="212"/>
      <c r="MS65" s="212"/>
      <c r="MT65" s="212"/>
      <c r="MU65" s="215"/>
      <c r="MV65" s="212"/>
      <c r="MW65" s="212"/>
      <c r="MX65" s="212"/>
      <c r="MY65" s="212"/>
      <c r="MZ65" s="212"/>
      <c r="NA65" s="216"/>
      <c r="NB65" s="211"/>
      <c r="NC65" s="212"/>
      <c r="ND65" s="212"/>
      <c r="NE65" s="212"/>
      <c r="NF65" s="212"/>
      <c r="NG65" s="213"/>
      <c r="NH65" s="212"/>
      <c r="NI65" s="212"/>
      <c r="NJ65" s="212"/>
      <c r="NK65" s="212"/>
      <c r="NL65" s="212"/>
      <c r="NM65" s="214"/>
      <c r="NN65" s="212"/>
      <c r="NO65" s="212"/>
      <c r="NP65" s="212"/>
      <c r="NQ65" s="212"/>
      <c r="NR65" s="212"/>
      <c r="NS65" s="215"/>
      <c r="NT65" s="212"/>
      <c r="NU65" s="212"/>
      <c r="NV65" s="212"/>
      <c r="NW65" s="212"/>
      <c r="NX65" s="212"/>
      <c r="NY65" s="214"/>
      <c r="NZ65" s="212"/>
      <c r="OA65" s="212"/>
      <c r="OB65" s="212"/>
      <c r="OC65" s="212"/>
      <c r="OD65" s="212"/>
      <c r="OE65" s="215"/>
      <c r="OF65" s="212"/>
      <c r="OG65" s="212"/>
      <c r="OH65" s="212"/>
      <c r="OI65" s="212"/>
      <c r="OJ65" s="212"/>
      <c r="OK65" s="214"/>
      <c r="OL65" s="212"/>
      <c r="OM65" s="212"/>
      <c r="ON65" s="212"/>
      <c r="OO65" s="212"/>
      <c r="OP65" s="212"/>
      <c r="OQ65" s="215"/>
      <c r="OR65" s="212"/>
      <c r="OS65" s="212"/>
      <c r="OT65" s="212"/>
      <c r="OU65" s="212"/>
      <c r="OV65" s="212"/>
      <c r="OW65" s="214"/>
      <c r="OX65" s="212"/>
      <c r="OY65" s="212"/>
      <c r="OZ65" s="212"/>
      <c r="PA65" s="212"/>
      <c r="PB65" s="212"/>
      <c r="PC65" s="215"/>
      <c r="PD65" s="212"/>
      <c r="PE65" s="212"/>
      <c r="PF65" s="212"/>
      <c r="PG65" s="212"/>
      <c r="PH65" s="212"/>
      <c r="PI65" s="216"/>
      <c r="PJ65" s="211"/>
      <c r="PK65" s="212"/>
      <c r="PL65" s="212"/>
      <c r="PM65" s="212"/>
      <c r="PN65" s="212"/>
      <c r="PO65" s="213"/>
      <c r="PP65" s="212"/>
      <c r="PQ65" s="212"/>
      <c r="PR65" s="212"/>
      <c r="PS65" s="212"/>
      <c r="PT65" s="212"/>
      <c r="PU65" s="214"/>
      <c r="PV65" s="212"/>
      <c r="PW65" s="212"/>
      <c r="PX65" s="212"/>
      <c r="PY65" s="212"/>
      <c r="PZ65" s="212"/>
      <c r="QA65" s="215"/>
      <c r="QB65" s="212"/>
      <c r="QC65" s="212"/>
      <c r="QD65" s="212"/>
      <c r="QE65" s="212"/>
      <c r="QF65" s="212"/>
      <c r="QG65" s="214"/>
      <c r="QH65" s="212"/>
      <c r="QI65" s="212"/>
      <c r="QJ65" s="212"/>
      <c r="QK65" s="212"/>
      <c r="QL65" s="212"/>
      <c r="QM65" s="215"/>
      <c r="QN65" s="212"/>
      <c r="QO65" s="212"/>
      <c r="QP65" s="212"/>
      <c r="QQ65" s="212"/>
      <c r="QR65" s="212"/>
      <c r="QS65" s="214"/>
      <c r="QT65" s="212"/>
      <c r="QU65" s="212"/>
      <c r="QV65" s="212"/>
      <c r="QW65" s="212"/>
      <c r="QX65" s="212"/>
      <c r="QY65" s="215"/>
      <c r="QZ65" s="212"/>
      <c r="RA65" s="212"/>
      <c r="RB65" s="212"/>
      <c r="RC65" s="212"/>
      <c r="RD65" s="212"/>
      <c r="RE65" s="214"/>
      <c r="RF65" s="212"/>
      <c r="RG65" s="212"/>
      <c r="RH65" s="212"/>
      <c r="RI65" s="212"/>
      <c r="RJ65" s="212"/>
      <c r="RK65" s="215"/>
      <c r="RL65" s="212"/>
      <c r="RM65" s="212"/>
      <c r="RN65" s="212"/>
      <c r="RO65" s="212"/>
      <c r="RP65" s="212"/>
      <c r="RQ65" s="216"/>
      <c r="RR65" s="27"/>
      <c r="RS65" s="28"/>
      <c r="RT65" s="28"/>
      <c r="RU65" s="28"/>
      <c r="RV65" s="28"/>
      <c r="RW65" s="105"/>
      <c r="RX65" s="28"/>
      <c r="RY65" s="28"/>
      <c r="RZ65" s="28"/>
      <c r="SA65" s="28"/>
      <c r="SB65" s="28"/>
      <c r="SC65" s="110"/>
      <c r="SD65" s="28"/>
      <c r="SE65" s="28"/>
      <c r="SF65" s="28"/>
      <c r="SG65" s="28"/>
      <c r="SH65" s="28"/>
      <c r="SI65" s="57"/>
      <c r="SJ65" s="28"/>
      <c r="SK65" s="28"/>
      <c r="SL65" s="28"/>
      <c r="SM65" s="28"/>
      <c r="SN65" s="28"/>
      <c r="SO65" s="110"/>
      <c r="SP65" s="28"/>
      <c r="SQ65" s="28"/>
      <c r="SR65" s="28"/>
      <c r="SS65" s="28"/>
      <c r="ST65" s="28"/>
      <c r="SU65" s="57"/>
      <c r="SV65" s="28"/>
      <c r="SW65" s="28"/>
      <c r="SX65" s="28"/>
      <c r="SY65" s="28"/>
      <c r="SZ65" s="28"/>
      <c r="TA65" s="110"/>
      <c r="TB65" s="28"/>
      <c r="TC65" s="2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73"/>
    </row>
    <row r="66" spans="1:1326" ht="20.100000000000001" customHeight="1" x14ac:dyDescent="0.3">
      <c r="A66" s="78" t="s">
        <v>27</v>
      </c>
      <c r="B66" s="51"/>
      <c r="C66" s="164"/>
      <c r="D66" s="121" t="str">
        <f t="shared" si="0"/>
        <v>90h</v>
      </c>
      <c r="E66" s="30">
        <v>1080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73"/>
    </row>
    <row r="67" spans="1:1326" ht="20.100000000000001" customHeight="1" x14ac:dyDescent="0.25">
      <c r="A67" s="78" t="s">
        <v>26</v>
      </c>
      <c r="B67" s="51"/>
      <c r="C67" s="163" t="s">
        <v>58</v>
      </c>
      <c r="D67" s="119" t="str">
        <f t="shared" si="0"/>
        <v>90h</v>
      </c>
      <c r="E67" s="34">
        <v>1080</v>
      </c>
      <c r="F67" s="217"/>
      <c r="G67" s="218"/>
      <c r="H67" s="218"/>
      <c r="I67" s="218"/>
      <c r="J67" s="218"/>
      <c r="K67" s="219"/>
      <c r="L67" s="218"/>
      <c r="M67" s="218"/>
      <c r="N67" s="218"/>
      <c r="O67" s="218"/>
      <c r="P67" s="218"/>
      <c r="Q67" s="220"/>
      <c r="R67" s="218"/>
      <c r="S67" s="218"/>
      <c r="T67" s="218"/>
      <c r="U67" s="218"/>
      <c r="V67" s="218"/>
      <c r="W67" s="221"/>
      <c r="X67" s="218"/>
      <c r="Y67" s="218"/>
      <c r="Z67" s="218"/>
      <c r="AA67" s="218"/>
      <c r="AB67" s="218"/>
      <c r="AC67" s="220"/>
      <c r="AD67" s="218"/>
      <c r="AE67" s="218"/>
      <c r="AF67" s="218"/>
      <c r="AG67" s="218"/>
      <c r="AH67" s="218"/>
      <c r="AI67" s="221"/>
      <c r="AJ67" s="218"/>
      <c r="AK67" s="218"/>
      <c r="AL67" s="218"/>
      <c r="AM67" s="218"/>
      <c r="AN67" s="218"/>
      <c r="AO67" s="220"/>
      <c r="AP67" s="218"/>
      <c r="AQ67" s="218"/>
      <c r="AR67" s="218"/>
      <c r="AS67" s="218"/>
      <c r="AT67" s="218"/>
      <c r="AU67" s="221"/>
      <c r="AV67" s="218"/>
      <c r="AW67" s="218"/>
      <c r="AX67" s="218"/>
      <c r="AY67" s="218"/>
      <c r="AZ67" s="218"/>
      <c r="BA67" s="220"/>
      <c r="BB67" s="218"/>
      <c r="BC67" s="218"/>
      <c r="BD67" s="218"/>
      <c r="BE67" s="218"/>
      <c r="BF67" s="218"/>
      <c r="BG67" s="221"/>
      <c r="BH67" s="218"/>
      <c r="BI67" s="218"/>
      <c r="BJ67" s="218"/>
      <c r="BK67" s="218"/>
      <c r="BL67" s="218"/>
      <c r="BM67" s="222"/>
      <c r="BN67" s="217"/>
      <c r="BO67" s="218"/>
      <c r="BP67" s="218"/>
      <c r="BQ67" s="218"/>
      <c r="BR67" s="218"/>
      <c r="BS67" s="219"/>
      <c r="BT67" s="218"/>
      <c r="BU67" s="218"/>
      <c r="BV67" s="218"/>
      <c r="BW67" s="218"/>
      <c r="BX67" s="218"/>
      <c r="BY67" s="220"/>
      <c r="BZ67" s="218"/>
      <c r="CA67" s="218"/>
      <c r="CB67" s="218"/>
      <c r="CC67" s="218"/>
      <c r="CD67" s="218"/>
      <c r="CE67" s="221"/>
      <c r="CF67" s="218"/>
      <c r="CG67" s="218"/>
      <c r="CH67" s="218"/>
      <c r="CI67" s="218"/>
      <c r="CJ67" s="218"/>
      <c r="CK67" s="220"/>
      <c r="CL67" s="218"/>
      <c r="CM67" s="218"/>
      <c r="CN67" s="218"/>
      <c r="CO67" s="218"/>
      <c r="CP67" s="218"/>
      <c r="CQ67" s="221"/>
      <c r="CR67" s="218"/>
      <c r="CS67" s="218"/>
      <c r="CT67" s="218"/>
      <c r="CU67" s="218"/>
      <c r="CV67" s="218"/>
      <c r="CW67" s="220"/>
      <c r="CX67" s="218"/>
      <c r="CY67" s="218"/>
      <c r="CZ67" s="218"/>
      <c r="DA67" s="218"/>
      <c r="DB67" s="218"/>
      <c r="DC67" s="221"/>
      <c r="DD67" s="218"/>
      <c r="DE67" s="218"/>
      <c r="DF67" s="218"/>
      <c r="DG67" s="218"/>
      <c r="DH67" s="218"/>
      <c r="DI67" s="220"/>
      <c r="DJ67" s="218"/>
      <c r="DK67" s="218"/>
      <c r="DL67" s="218"/>
      <c r="DM67" s="218"/>
      <c r="DN67" s="218"/>
      <c r="DO67" s="221"/>
      <c r="DP67" s="218"/>
      <c r="DQ67" s="218"/>
      <c r="DR67" s="218"/>
      <c r="DS67" s="218"/>
      <c r="DT67" s="218"/>
      <c r="DU67" s="222"/>
      <c r="DV67" s="217"/>
      <c r="DW67" s="218"/>
      <c r="DX67" s="218"/>
      <c r="DY67" s="218"/>
      <c r="DZ67" s="218"/>
      <c r="EA67" s="219"/>
      <c r="EB67" s="218"/>
      <c r="EC67" s="218"/>
      <c r="ED67" s="218"/>
      <c r="EE67" s="218"/>
      <c r="EF67" s="218"/>
      <c r="EG67" s="220"/>
      <c r="EH67" s="218"/>
      <c r="EI67" s="218"/>
      <c r="EJ67" s="218"/>
      <c r="EK67" s="218"/>
      <c r="EL67" s="218"/>
      <c r="EM67" s="221"/>
      <c r="EN67" s="218"/>
      <c r="EO67" s="218"/>
      <c r="EP67" s="218"/>
      <c r="EQ67" s="218"/>
      <c r="ER67" s="218"/>
      <c r="ES67" s="220"/>
      <c r="ET67" s="218"/>
      <c r="EU67" s="218"/>
      <c r="EV67" s="218"/>
      <c r="EW67" s="218"/>
      <c r="EX67" s="218"/>
      <c r="EY67" s="221"/>
      <c r="EZ67" s="218"/>
      <c r="FA67" s="218"/>
      <c r="FB67" s="218"/>
      <c r="FC67" s="218"/>
      <c r="FD67" s="218"/>
      <c r="FE67" s="220"/>
      <c r="FF67" s="218"/>
      <c r="FG67" s="218"/>
      <c r="FH67" s="218"/>
      <c r="FI67" s="218"/>
      <c r="FJ67" s="218"/>
      <c r="FK67" s="221"/>
      <c r="FL67" s="218"/>
      <c r="FM67" s="218"/>
      <c r="FN67" s="218"/>
      <c r="FO67" s="218"/>
      <c r="FP67" s="218"/>
      <c r="FQ67" s="220"/>
      <c r="FR67" s="218"/>
      <c r="FS67" s="218"/>
      <c r="FT67" s="218"/>
      <c r="FU67" s="218"/>
      <c r="FV67" s="218"/>
      <c r="FW67" s="221"/>
      <c r="FX67" s="218"/>
      <c r="FY67" s="218"/>
      <c r="FZ67" s="218"/>
      <c r="GA67" s="218"/>
      <c r="GB67" s="218"/>
      <c r="GC67" s="222"/>
      <c r="GD67" s="217"/>
      <c r="GE67" s="218"/>
      <c r="GF67" s="218"/>
      <c r="GG67" s="218"/>
      <c r="GH67" s="218"/>
      <c r="GI67" s="219"/>
      <c r="GJ67" s="218"/>
      <c r="GK67" s="218"/>
      <c r="GL67" s="218"/>
      <c r="GM67" s="218"/>
      <c r="GN67" s="218"/>
      <c r="GO67" s="220"/>
      <c r="GP67" s="218"/>
      <c r="GQ67" s="218"/>
      <c r="GR67" s="218"/>
      <c r="GS67" s="218"/>
      <c r="GT67" s="218"/>
      <c r="GU67" s="221"/>
      <c r="GV67" s="218"/>
      <c r="GW67" s="218"/>
      <c r="GX67" s="218"/>
      <c r="GY67" s="218"/>
      <c r="GZ67" s="218"/>
      <c r="HA67" s="220"/>
      <c r="HB67" s="218"/>
      <c r="HC67" s="218"/>
      <c r="HD67" s="218"/>
      <c r="HE67" s="218"/>
      <c r="HF67" s="218"/>
      <c r="HG67" s="221"/>
      <c r="HH67" s="218"/>
      <c r="HI67" s="218"/>
      <c r="HJ67" s="218"/>
      <c r="HK67" s="218"/>
      <c r="HL67" s="218"/>
      <c r="HM67" s="220"/>
      <c r="HN67" s="218"/>
      <c r="HO67" s="218"/>
      <c r="HP67" s="218"/>
      <c r="HQ67" s="218"/>
      <c r="HR67" s="218"/>
      <c r="HS67" s="221"/>
      <c r="HT67" s="218"/>
      <c r="HU67" s="218"/>
      <c r="HV67" s="218"/>
      <c r="HW67" s="218"/>
      <c r="HX67" s="218"/>
      <c r="HY67" s="220"/>
      <c r="HZ67" s="218"/>
      <c r="IA67" s="218"/>
      <c r="IB67" s="218"/>
      <c r="IC67" s="218"/>
      <c r="ID67" s="218"/>
      <c r="IE67" s="221"/>
      <c r="IF67" s="218"/>
      <c r="IG67" s="218"/>
      <c r="IH67" s="218"/>
      <c r="II67" s="218"/>
      <c r="IJ67" s="218"/>
      <c r="IK67" s="222"/>
      <c r="IL67" s="217"/>
      <c r="IM67" s="218"/>
      <c r="IN67" s="218"/>
      <c r="IO67" s="218"/>
      <c r="IP67" s="218"/>
      <c r="IQ67" s="219"/>
      <c r="IR67" s="218"/>
      <c r="IS67" s="218"/>
      <c r="IT67" s="218"/>
      <c r="IU67" s="218"/>
      <c r="IV67" s="218"/>
      <c r="IW67" s="220"/>
      <c r="IX67" s="218"/>
      <c r="IY67" s="218"/>
      <c r="IZ67" s="218"/>
      <c r="JA67" s="218"/>
      <c r="JB67" s="218"/>
      <c r="JC67" s="221"/>
      <c r="JD67" s="218"/>
      <c r="JE67" s="218"/>
      <c r="JF67" s="218"/>
      <c r="JG67" s="218"/>
      <c r="JH67" s="218"/>
      <c r="JI67" s="220"/>
      <c r="JJ67" s="218"/>
      <c r="JK67" s="218"/>
      <c r="JL67" s="218"/>
      <c r="JM67" s="218"/>
      <c r="JN67" s="218"/>
      <c r="JO67" s="221"/>
      <c r="JP67" s="218"/>
      <c r="JQ67" s="218"/>
      <c r="JR67" s="218"/>
      <c r="JS67" s="218"/>
      <c r="JT67" s="218"/>
      <c r="JU67" s="220"/>
      <c r="JV67" s="218"/>
      <c r="JW67" s="218"/>
      <c r="JX67" s="218"/>
      <c r="JY67" s="218"/>
      <c r="JZ67" s="218"/>
      <c r="KA67" s="221"/>
      <c r="KB67" s="218"/>
      <c r="KC67" s="218"/>
      <c r="KD67" s="218"/>
      <c r="KE67" s="218"/>
      <c r="KF67" s="218"/>
      <c r="KG67" s="220"/>
      <c r="KH67" s="218"/>
      <c r="KI67" s="218"/>
      <c r="KJ67" s="218"/>
      <c r="KK67" s="218"/>
      <c r="KL67" s="218"/>
      <c r="KM67" s="221"/>
      <c r="KN67" s="218"/>
      <c r="KO67" s="218"/>
      <c r="KP67" s="218"/>
      <c r="KQ67" s="218"/>
      <c r="KR67" s="218"/>
      <c r="KS67" s="222"/>
      <c r="KT67" s="217"/>
      <c r="KU67" s="218"/>
      <c r="KV67" s="218"/>
      <c r="KW67" s="218"/>
      <c r="KX67" s="218"/>
      <c r="KY67" s="219"/>
      <c r="KZ67" s="218"/>
      <c r="LA67" s="218"/>
      <c r="LB67" s="218"/>
      <c r="LC67" s="218"/>
      <c r="LD67" s="218"/>
      <c r="LE67" s="220"/>
      <c r="LF67" s="218"/>
      <c r="LG67" s="218"/>
      <c r="LH67" s="218"/>
      <c r="LI67" s="218"/>
      <c r="LJ67" s="218"/>
      <c r="LK67" s="221"/>
      <c r="LL67" s="218"/>
      <c r="LM67" s="218"/>
      <c r="LN67" s="218"/>
      <c r="LO67" s="218"/>
      <c r="LP67" s="218"/>
      <c r="LQ67" s="220"/>
      <c r="LR67" s="218"/>
      <c r="LS67" s="218"/>
      <c r="LT67" s="218"/>
      <c r="LU67" s="218"/>
      <c r="LV67" s="218"/>
      <c r="LW67" s="221"/>
      <c r="LX67" s="218"/>
      <c r="LY67" s="218"/>
      <c r="LZ67" s="218"/>
      <c r="MA67" s="218"/>
      <c r="MB67" s="218"/>
      <c r="MC67" s="220"/>
      <c r="MD67" s="218"/>
      <c r="ME67" s="218"/>
      <c r="MF67" s="218"/>
      <c r="MG67" s="218"/>
      <c r="MH67" s="218"/>
      <c r="MI67" s="221"/>
      <c r="MJ67" s="218"/>
      <c r="MK67" s="218"/>
      <c r="ML67" s="218"/>
      <c r="MM67" s="218"/>
      <c r="MN67" s="218"/>
      <c r="MO67" s="220"/>
      <c r="MP67" s="218"/>
      <c r="MQ67" s="218"/>
      <c r="MR67" s="218"/>
      <c r="MS67" s="218"/>
      <c r="MT67" s="218"/>
      <c r="MU67" s="221"/>
      <c r="MV67" s="218"/>
      <c r="MW67" s="218"/>
      <c r="MX67" s="218"/>
      <c r="MY67" s="218"/>
      <c r="MZ67" s="218"/>
      <c r="NA67" s="222"/>
      <c r="NB67" s="217"/>
      <c r="NC67" s="218"/>
      <c r="ND67" s="218"/>
      <c r="NE67" s="218"/>
      <c r="NF67" s="218"/>
      <c r="NG67" s="219"/>
      <c r="NH67" s="218"/>
      <c r="NI67" s="218"/>
      <c r="NJ67" s="218"/>
      <c r="NK67" s="218"/>
      <c r="NL67" s="218"/>
      <c r="NM67" s="220"/>
      <c r="NN67" s="218"/>
      <c r="NO67" s="218"/>
      <c r="NP67" s="218"/>
      <c r="NQ67" s="218"/>
      <c r="NR67" s="218"/>
      <c r="NS67" s="221"/>
      <c r="NT67" s="218"/>
      <c r="NU67" s="218"/>
      <c r="NV67" s="218"/>
      <c r="NW67" s="218"/>
      <c r="NX67" s="218"/>
      <c r="NY67" s="220"/>
      <c r="NZ67" s="218"/>
      <c r="OA67" s="218"/>
      <c r="OB67" s="218"/>
      <c r="OC67" s="218"/>
      <c r="OD67" s="218"/>
      <c r="OE67" s="221"/>
      <c r="OF67" s="218"/>
      <c r="OG67" s="218"/>
      <c r="OH67" s="218"/>
      <c r="OI67" s="218"/>
      <c r="OJ67" s="218"/>
      <c r="OK67" s="220"/>
      <c r="OL67" s="218"/>
      <c r="OM67" s="218"/>
      <c r="ON67" s="218"/>
      <c r="OO67" s="218"/>
      <c r="OP67" s="218"/>
      <c r="OQ67" s="221"/>
      <c r="OR67" s="218"/>
      <c r="OS67" s="218"/>
      <c r="OT67" s="218"/>
      <c r="OU67" s="218"/>
      <c r="OV67" s="218"/>
      <c r="OW67" s="220"/>
      <c r="OX67" s="218"/>
      <c r="OY67" s="218"/>
      <c r="OZ67" s="218"/>
      <c r="PA67" s="218"/>
      <c r="PB67" s="218"/>
      <c r="PC67" s="221"/>
      <c r="PD67" s="218"/>
      <c r="PE67" s="218"/>
      <c r="PF67" s="218"/>
      <c r="PG67" s="218"/>
      <c r="PH67" s="218"/>
      <c r="PI67" s="222"/>
      <c r="PJ67" s="217"/>
      <c r="PK67" s="218"/>
      <c r="PL67" s="218"/>
      <c r="PM67" s="218"/>
      <c r="PN67" s="218"/>
      <c r="PO67" s="219"/>
      <c r="PP67" s="218"/>
      <c r="PQ67" s="218"/>
      <c r="PR67" s="218"/>
      <c r="PS67" s="218"/>
      <c r="PT67" s="218"/>
      <c r="PU67" s="220"/>
      <c r="PV67" s="218"/>
      <c r="PW67" s="218"/>
      <c r="PX67" s="218"/>
      <c r="PY67" s="218"/>
      <c r="PZ67" s="218"/>
      <c r="QA67" s="221"/>
      <c r="QB67" s="218"/>
      <c r="QC67" s="218"/>
      <c r="QD67" s="218"/>
      <c r="QE67" s="218"/>
      <c r="QF67" s="218"/>
      <c r="QG67" s="220"/>
      <c r="QH67" s="218"/>
      <c r="QI67" s="218"/>
      <c r="QJ67" s="218"/>
      <c r="QK67" s="218"/>
      <c r="QL67" s="218"/>
      <c r="QM67" s="221"/>
      <c r="QN67" s="218"/>
      <c r="QO67" s="218"/>
      <c r="QP67" s="218"/>
      <c r="QQ67" s="218"/>
      <c r="QR67" s="218"/>
      <c r="QS67" s="220"/>
      <c r="QT67" s="218"/>
      <c r="QU67" s="218"/>
      <c r="QV67" s="218"/>
      <c r="QW67" s="218"/>
      <c r="QX67" s="218"/>
      <c r="QY67" s="221"/>
      <c r="QZ67" s="218"/>
      <c r="RA67" s="218"/>
      <c r="RB67" s="218"/>
      <c r="RC67" s="218"/>
      <c r="RD67" s="218"/>
      <c r="RE67" s="220"/>
      <c r="RF67" s="218"/>
      <c r="RG67" s="218"/>
      <c r="RH67" s="218"/>
      <c r="RI67" s="218"/>
      <c r="RJ67" s="218"/>
      <c r="RK67" s="221"/>
      <c r="RL67" s="218"/>
      <c r="RM67" s="218"/>
      <c r="RN67" s="218"/>
      <c r="RO67" s="218"/>
      <c r="RP67" s="218"/>
      <c r="RQ67" s="222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73"/>
    </row>
    <row r="68" spans="1:1326" ht="20.100000000000001" customHeight="1" x14ac:dyDescent="0.25">
      <c r="A68" s="78" t="s">
        <v>27</v>
      </c>
      <c r="B68" s="51"/>
      <c r="C68" s="169"/>
      <c r="D68" s="120" t="str">
        <f t="shared" si="0"/>
        <v>90h</v>
      </c>
      <c r="E68" s="22">
        <v>1080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73"/>
    </row>
    <row r="69" spans="1:1326" ht="20.100000000000001" customHeight="1" x14ac:dyDescent="0.25">
      <c r="A69" s="78" t="s">
        <v>26</v>
      </c>
      <c r="B69" s="51"/>
      <c r="C69" s="163" t="s">
        <v>59</v>
      </c>
      <c r="D69" s="119" t="str">
        <f t="shared" si="0"/>
        <v>90h</v>
      </c>
      <c r="E69" s="26">
        <v>1080</v>
      </c>
      <c r="F69" s="211"/>
      <c r="G69" s="212"/>
      <c r="H69" s="212"/>
      <c r="I69" s="212"/>
      <c r="J69" s="212"/>
      <c r="K69" s="213"/>
      <c r="L69" s="212"/>
      <c r="M69" s="212"/>
      <c r="N69" s="212"/>
      <c r="O69" s="212"/>
      <c r="P69" s="212"/>
      <c r="Q69" s="214"/>
      <c r="R69" s="212"/>
      <c r="S69" s="212"/>
      <c r="T69" s="212"/>
      <c r="U69" s="212"/>
      <c r="V69" s="212"/>
      <c r="W69" s="215"/>
      <c r="X69" s="212"/>
      <c r="Y69" s="212"/>
      <c r="Z69" s="212"/>
      <c r="AA69" s="212"/>
      <c r="AB69" s="212"/>
      <c r="AC69" s="214"/>
      <c r="AD69" s="212"/>
      <c r="AE69" s="212"/>
      <c r="AF69" s="212"/>
      <c r="AG69" s="212"/>
      <c r="AH69" s="212"/>
      <c r="AI69" s="215"/>
      <c r="AJ69" s="212"/>
      <c r="AK69" s="212"/>
      <c r="AL69" s="212"/>
      <c r="AM69" s="212"/>
      <c r="AN69" s="212"/>
      <c r="AO69" s="214"/>
      <c r="AP69" s="212"/>
      <c r="AQ69" s="212"/>
      <c r="AR69" s="212"/>
      <c r="AS69" s="212"/>
      <c r="AT69" s="212"/>
      <c r="AU69" s="215"/>
      <c r="AV69" s="212"/>
      <c r="AW69" s="212"/>
      <c r="AX69" s="212"/>
      <c r="AY69" s="212"/>
      <c r="AZ69" s="212"/>
      <c r="BA69" s="214"/>
      <c r="BB69" s="212"/>
      <c r="BC69" s="212"/>
      <c r="BD69" s="212"/>
      <c r="BE69" s="212"/>
      <c r="BF69" s="212"/>
      <c r="BG69" s="215"/>
      <c r="BH69" s="212"/>
      <c r="BI69" s="212"/>
      <c r="BJ69" s="212"/>
      <c r="BK69" s="212"/>
      <c r="BL69" s="212"/>
      <c r="BM69" s="216"/>
      <c r="BN69" s="211"/>
      <c r="BO69" s="212"/>
      <c r="BP69" s="212"/>
      <c r="BQ69" s="212"/>
      <c r="BR69" s="212"/>
      <c r="BS69" s="213"/>
      <c r="BT69" s="212"/>
      <c r="BU69" s="212"/>
      <c r="BV69" s="212"/>
      <c r="BW69" s="212"/>
      <c r="BX69" s="212"/>
      <c r="BY69" s="214"/>
      <c r="BZ69" s="212"/>
      <c r="CA69" s="212"/>
      <c r="CB69" s="212"/>
      <c r="CC69" s="212"/>
      <c r="CD69" s="212"/>
      <c r="CE69" s="215"/>
      <c r="CF69" s="212"/>
      <c r="CG69" s="212"/>
      <c r="CH69" s="212"/>
      <c r="CI69" s="212"/>
      <c r="CJ69" s="212"/>
      <c r="CK69" s="214"/>
      <c r="CL69" s="212"/>
      <c r="CM69" s="212"/>
      <c r="CN69" s="212"/>
      <c r="CO69" s="212"/>
      <c r="CP69" s="212"/>
      <c r="CQ69" s="215"/>
      <c r="CR69" s="212"/>
      <c r="CS69" s="212"/>
      <c r="CT69" s="212"/>
      <c r="CU69" s="212"/>
      <c r="CV69" s="212"/>
      <c r="CW69" s="214"/>
      <c r="CX69" s="212"/>
      <c r="CY69" s="212"/>
      <c r="CZ69" s="212"/>
      <c r="DA69" s="212"/>
      <c r="DB69" s="212"/>
      <c r="DC69" s="215"/>
      <c r="DD69" s="212"/>
      <c r="DE69" s="212"/>
      <c r="DF69" s="212"/>
      <c r="DG69" s="212"/>
      <c r="DH69" s="212"/>
      <c r="DI69" s="214"/>
      <c r="DJ69" s="212"/>
      <c r="DK69" s="212"/>
      <c r="DL69" s="212"/>
      <c r="DM69" s="212"/>
      <c r="DN69" s="212"/>
      <c r="DO69" s="215"/>
      <c r="DP69" s="212"/>
      <c r="DQ69" s="212"/>
      <c r="DR69" s="212"/>
      <c r="DS69" s="212"/>
      <c r="DT69" s="212"/>
      <c r="DU69" s="216"/>
      <c r="DV69" s="211"/>
      <c r="DW69" s="212"/>
      <c r="DX69" s="212"/>
      <c r="DY69" s="212"/>
      <c r="DZ69" s="212"/>
      <c r="EA69" s="213"/>
      <c r="EB69" s="212"/>
      <c r="EC69" s="212"/>
      <c r="ED69" s="212"/>
      <c r="EE69" s="212"/>
      <c r="EF69" s="212"/>
      <c r="EG69" s="214"/>
      <c r="EH69" s="212"/>
      <c r="EI69" s="212"/>
      <c r="EJ69" s="212"/>
      <c r="EK69" s="212"/>
      <c r="EL69" s="212"/>
      <c r="EM69" s="215"/>
      <c r="EN69" s="212"/>
      <c r="EO69" s="212"/>
      <c r="EP69" s="212"/>
      <c r="EQ69" s="212"/>
      <c r="ER69" s="212"/>
      <c r="ES69" s="214"/>
      <c r="ET69" s="212"/>
      <c r="EU69" s="212"/>
      <c r="EV69" s="212"/>
      <c r="EW69" s="212"/>
      <c r="EX69" s="212"/>
      <c r="EY69" s="215"/>
      <c r="EZ69" s="212"/>
      <c r="FA69" s="212"/>
      <c r="FB69" s="212"/>
      <c r="FC69" s="212"/>
      <c r="FD69" s="212"/>
      <c r="FE69" s="214"/>
      <c r="FF69" s="212"/>
      <c r="FG69" s="212"/>
      <c r="FH69" s="212"/>
      <c r="FI69" s="212"/>
      <c r="FJ69" s="212"/>
      <c r="FK69" s="215"/>
      <c r="FL69" s="212"/>
      <c r="FM69" s="212"/>
      <c r="FN69" s="212"/>
      <c r="FO69" s="212"/>
      <c r="FP69" s="212"/>
      <c r="FQ69" s="214"/>
      <c r="FR69" s="212"/>
      <c r="FS69" s="212"/>
      <c r="FT69" s="212"/>
      <c r="FU69" s="212"/>
      <c r="FV69" s="212"/>
      <c r="FW69" s="215"/>
      <c r="FX69" s="212"/>
      <c r="FY69" s="212"/>
      <c r="FZ69" s="212"/>
      <c r="GA69" s="212"/>
      <c r="GB69" s="212"/>
      <c r="GC69" s="216"/>
      <c r="GD69" s="211"/>
      <c r="GE69" s="212"/>
      <c r="GF69" s="212"/>
      <c r="GG69" s="212"/>
      <c r="GH69" s="212"/>
      <c r="GI69" s="213"/>
      <c r="GJ69" s="212"/>
      <c r="GK69" s="212"/>
      <c r="GL69" s="212"/>
      <c r="GM69" s="212"/>
      <c r="GN69" s="212"/>
      <c r="GO69" s="214"/>
      <c r="GP69" s="212"/>
      <c r="GQ69" s="212"/>
      <c r="GR69" s="212"/>
      <c r="GS69" s="212"/>
      <c r="GT69" s="212"/>
      <c r="GU69" s="215"/>
      <c r="GV69" s="212"/>
      <c r="GW69" s="212"/>
      <c r="GX69" s="212"/>
      <c r="GY69" s="212"/>
      <c r="GZ69" s="212"/>
      <c r="HA69" s="214"/>
      <c r="HB69" s="212"/>
      <c r="HC69" s="212"/>
      <c r="HD69" s="212"/>
      <c r="HE69" s="212"/>
      <c r="HF69" s="212"/>
      <c r="HG69" s="215"/>
      <c r="HH69" s="212"/>
      <c r="HI69" s="212"/>
      <c r="HJ69" s="212"/>
      <c r="HK69" s="212"/>
      <c r="HL69" s="212"/>
      <c r="HM69" s="214"/>
      <c r="HN69" s="212"/>
      <c r="HO69" s="212"/>
      <c r="HP69" s="212"/>
      <c r="HQ69" s="212"/>
      <c r="HR69" s="212"/>
      <c r="HS69" s="215"/>
      <c r="HT69" s="212"/>
      <c r="HU69" s="212"/>
      <c r="HV69" s="212"/>
      <c r="HW69" s="212"/>
      <c r="HX69" s="212"/>
      <c r="HY69" s="214"/>
      <c r="HZ69" s="212"/>
      <c r="IA69" s="212"/>
      <c r="IB69" s="212"/>
      <c r="IC69" s="212"/>
      <c r="ID69" s="212"/>
      <c r="IE69" s="215"/>
      <c r="IF69" s="212"/>
      <c r="IG69" s="212"/>
      <c r="IH69" s="212"/>
      <c r="II69" s="212"/>
      <c r="IJ69" s="212"/>
      <c r="IK69" s="216"/>
      <c r="IL69" s="211"/>
      <c r="IM69" s="212"/>
      <c r="IN69" s="212"/>
      <c r="IO69" s="212"/>
      <c r="IP69" s="212"/>
      <c r="IQ69" s="213"/>
      <c r="IR69" s="212"/>
      <c r="IS69" s="212"/>
      <c r="IT69" s="212"/>
      <c r="IU69" s="212"/>
      <c r="IV69" s="212"/>
      <c r="IW69" s="214"/>
      <c r="IX69" s="212"/>
      <c r="IY69" s="212"/>
      <c r="IZ69" s="212"/>
      <c r="JA69" s="212"/>
      <c r="JB69" s="212"/>
      <c r="JC69" s="215"/>
      <c r="JD69" s="212"/>
      <c r="JE69" s="212"/>
      <c r="JF69" s="212"/>
      <c r="JG69" s="212"/>
      <c r="JH69" s="212"/>
      <c r="JI69" s="214"/>
      <c r="JJ69" s="212"/>
      <c r="JK69" s="212"/>
      <c r="JL69" s="212"/>
      <c r="JM69" s="212"/>
      <c r="JN69" s="212"/>
      <c r="JO69" s="215"/>
      <c r="JP69" s="212"/>
      <c r="JQ69" s="212"/>
      <c r="JR69" s="212"/>
      <c r="JS69" s="212"/>
      <c r="JT69" s="212"/>
      <c r="JU69" s="214"/>
      <c r="JV69" s="212"/>
      <c r="JW69" s="212"/>
      <c r="JX69" s="212"/>
      <c r="JY69" s="212"/>
      <c r="JZ69" s="212"/>
      <c r="KA69" s="215"/>
      <c r="KB69" s="212"/>
      <c r="KC69" s="212"/>
      <c r="KD69" s="212"/>
      <c r="KE69" s="212"/>
      <c r="KF69" s="212"/>
      <c r="KG69" s="214"/>
      <c r="KH69" s="212"/>
      <c r="KI69" s="212"/>
      <c r="KJ69" s="212"/>
      <c r="KK69" s="212"/>
      <c r="KL69" s="212"/>
      <c r="KM69" s="215"/>
      <c r="KN69" s="212"/>
      <c r="KO69" s="212"/>
      <c r="KP69" s="212"/>
      <c r="KQ69" s="212"/>
      <c r="KR69" s="212"/>
      <c r="KS69" s="216"/>
      <c r="KT69" s="211"/>
      <c r="KU69" s="212"/>
      <c r="KV69" s="212"/>
      <c r="KW69" s="212"/>
      <c r="KX69" s="212"/>
      <c r="KY69" s="213"/>
      <c r="KZ69" s="212"/>
      <c r="LA69" s="212"/>
      <c r="LB69" s="212"/>
      <c r="LC69" s="212"/>
      <c r="LD69" s="212"/>
      <c r="LE69" s="214"/>
      <c r="LF69" s="212"/>
      <c r="LG69" s="212"/>
      <c r="LH69" s="212"/>
      <c r="LI69" s="212"/>
      <c r="LJ69" s="212"/>
      <c r="LK69" s="215"/>
      <c r="LL69" s="212"/>
      <c r="LM69" s="212"/>
      <c r="LN69" s="212"/>
      <c r="LO69" s="212"/>
      <c r="LP69" s="212"/>
      <c r="LQ69" s="214"/>
      <c r="LR69" s="212"/>
      <c r="LS69" s="212"/>
      <c r="LT69" s="212"/>
      <c r="LU69" s="212"/>
      <c r="LV69" s="212"/>
      <c r="LW69" s="215"/>
      <c r="LX69" s="212"/>
      <c r="LY69" s="212"/>
      <c r="LZ69" s="212"/>
      <c r="MA69" s="212"/>
      <c r="MB69" s="212"/>
      <c r="MC69" s="214"/>
      <c r="MD69" s="212"/>
      <c r="ME69" s="212"/>
      <c r="MF69" s="212"/>
      <c r="MG69" s="212"/>
      <c r="MH69" s="212"/>
      <c r="MI69" s="215"/>
      <c r="MJ69" s="212"/>
      <c r="MK69" s="212"/>
      <c r="ML69" s="212"/>
      <c r="MM69" s="212"/>
      <c r="MN69" s="212"/>
      <c r="MO69" s="214"/>
      <c r="MP69" s="212"/>
      <c r="MQ69" s="212"/>
      <c r="MR69" s="212"/>
      <c r="MS69" s="212"/>
      <c r="MT69" s="212"/>
      <c r="MU69" s="215"/>
      <c r="MV69" s="212"/>
      <c r="MW69" s="212"/>
      <c r="MX69" s="212"/>
      <c r="MY69" s="212"/>
      <c r="MZ69" s="212"/>
      <c r="NA69" s="216"/>
      <c r="NB69" s="211"/>
      <c r="NC69" s="212"/>
      <c r="ND69" s="212"/>
      <c r="NE69" s="212"/>
      <c r="NF69" s="212"/>
      <c r="NG69" s="213"/>
      <c r="NH69" s="212"/>
      <c r="NI69" s="212"/>
      <c r="NJ69" s="212"/>
      <c r="NK69" s="212"/>
      <c r="NL69" s="212"/>
      <c r="NM69" s="214"/>
      <c r="NN69" s="212"/>
      <c r="NO69" s="212"/>
      <c r="NP69" s="212"/>
      <c r="NQ69" s="212"/>
      <c r="NR69" s="212"/>
      <c r="NS69" s="215"/>
      <c r="NT69" s="212"/>
      <c r="NU69" s="212"/>
      <c r="NV69" s="212"/>
      <c r="NW69" s="212"/>
      <c r="NX69" s="212"/>
      <c r="NY69" s="214"/>
      <c r="NZ69" s="212"/>
      <c r="OA69" s="212"/>
      <c r="OB69" s="212"/>
      <c r="OC69" s="212"/>
      <c r="OD69" s="212"/>
      <c r="OE69" s="215"/>
      <c r="OF69" s="212"/>
      <c r="OG69" s="212"/>
      <c r="OH69" s="212"/>
      <c r="OI69" s="212"/>
      <c r="OJ69" s="212"/>
      <c r="OK69" s="214"/>
      <c r="OL69" s="212"/>
      <c r="OM69" s="212"/>
      <c r="ON69" s="212"/>
      <c r="OO69" s="212"/>
      <c r="OP69" s="212"/>
      <c r="OQ69" s="215"/>
      <c r="OR69" s="212"/>
      <c r="OS69" s="212"/>
      <c r="OT69" s="212"/>
      <c r="OU69" s="212"/>
      <c r="OV69" s="212"/>
      <c r="OW69" s="214"/>
      <c r="OX69" s="212"/>
      <c r="OY69" s="212"/>
      <c r="OZ69" s="212"/>
      <c r="PA69" s="212"/>
      <c r="PB69" s="212"/>
      <c r="PC69" s="215"/>
      <c r="PD69" s="212"/>
      <c r="PE69" s="212"/>
      <c r="PF69" s="212"/>
      <c r="PG69" s="212"/>
      <c r="PH69" s="212"/>
      <c r="PI69" s="216"/>
      <c r="PJ69" s="211"/>
      <c r="PK69" s="212"/>
      <c r="PL69" s="212"/>
      <c r="PM69" s="212"/>
      <c r="PN69" s="212"/>
      <c r="PO69" s="213"/>
      <c r="PP69" s="212"/>
      <c r="PQ69" s="212"/>
      <c r="PR69" s="212"/>
      <c r="PS69" s="212"/>
      <c r="PT69" s="212"/>
      <c r="PU69" s="214"/>
      <c r="PV69" s="212"/>
      <c r="PW69" s="212"/>
      <c r="PX69" s="212"/>
      <c r="PY69" s="212"/>
      <c r="PZ69" s="212"/>
      <c r="QA69" s="215"/>
      <c r="QB69" s="212"/>
      <c r="QC69" s="212"/>
      <c r="QD69" s="212"/>
      <c r="QE69" s="212"/>
      <c r="QF69" s="212"/>
      <c r="QG69" s="214"/>
      <c r="QH69" s="212"/>
      <c r="QI69" s="212"/>
      <c r="QJ69" s="212"/>
      <c r="QK69" s="212"/>
      <c r="QL69" s="212"/>
      <c r="QM69" s="215"/>
      <c r="QN69" s="212"/>
      <c r="QO69" s="212"/>
      <c r="QP69" s="212"/>
      <c r="QQ69" s="212"/>
      <c r="QR69" s="212"/>
      <c r="QS69" s="214"/>
      <c r="QT69" s="212"/>
      <c r="QU69" s="212"/>
      <c r="QV69" s="212"/>
      <c r="QW69" s="212"/>
      <c r="QX69" s="212"/>
      <c r="QY69" s="215"/>
      <c r="QZ69" s="212"/>
      <c r="RA69" s="212"/>
      <c r="RB69" s="212"/>
      <c r="RC69" s="212"/>
      <c r="RD69" s="212"/>
      <c r="RE69" s="214"/>
      <c r="RF69" s="212"/>
      <c r="RG69" s="212"/>
      <c r="RH69" s="212"/>
      <c r="RI69" s="212"/>
      <c r="RJ69" s="212"/>
      <c r="RK69" s="215"/>
      <c r="RL69" s="212"/>
      <c r="RM69" s="212"/>
      <c r="RN69" s="212"/>
      <c r="RO69" s="212"/>
      <c r="RP69" s="212"/>
      <c r="RQ69" s="216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73"/>
    </row>
    <row r="70" spans="1:1326" ht="20.100000000000001" customHeight="1" x14ac:dyDescent="0.3">
      <c r="A70" s="78" t="s">
        <v>27</v>
      </c>
      <c r="B70" s="51"/>
      <c r="C70" s="169"/>
      <c r="D70" s="121" t="str">
        <f t="shared" si="0"/>
        <v>90h</v>
      </c>
      <c r="E70" s="30">
        <v>1080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73"/>
    </row>
    <row r="71" spans="1:1326" ht="20.100000000000001" customHeight="1" x14ac:dyDescent="0.25">
      <c r="A71" s="78" t="s">
        <v>26</v>
      </c>
      <c r="B71" s="51"/>
      <c r="C71" s="163" t="s">
        <v>73</v>
      </c>
      <c r="D71" s="119" t="str">
        <f t="shared" si="0"/>
        <v>90h</v>
      </c>
      <c r="E71" s="34">
        <v>1080</v>
      </c>
      <c r="F71" s="217"/>
      <c r="G71" s="218"/>
      <c r="H71" s="218"/>
      <c r="I71" s="218"/>
      <c r="J71" s="218"/>
      <c r="K71" s="219"/>
      <c r="L71" s="218"/>
      <c r="M71" s="218"/>
      <c r="N71" s="218"/>
      <c r="O71" s="218"/>
      <c r="P71" s="218"/>
      <c r="Q71" s="220"/>
      <c r="R71" s="218"/>
      <c r="S71" s="218"/>
      <c r="T71" s="218"/>
      <c r="U71" s="218"/>
      <c r="V71" s="218"/>
      <c r="W71" s="221"/>
      <c r="X71" s="218"/>
      <c r="Y71" s="218"/>
      <c r="Z71" s="218"/>
      <c r="AA71" s="218"/>
      <c r="AB71" s="218"/>
      <c r="AC71" s="220"/>
      <c r="AD71" s="218"/>
      <c r="AE71" s="218"/>
      <c r="AF71" s="218"/>
      <c r="AG71" s="218"/>
      <c r="AH71" s="218"/>
      <c r="AI71" s="221"/>
      <c r="AJ71" s="218"/>
      <c r="AK71" s="218"/>
      <c r="AL71" s="218"/>
      <c r="AM71" s="218"/>
      <c r="AN71" s="218"/>
      <c r="AO71" s="220"/>
      <c r="AP71" s="218"/>
      <c r="AQ71" s="218"/>
      <c r="AR71" s="218"/>
      <c r="AS71" s="218"/>
      <c r="AT71" s="218"/>
      <c r="AU71" s="221"/>
      <c r="AV71" s="218"/>
      <c r="AW71" s="218"/>
      <c r="AX71" s="218"/>
      <c r="AY71" s="218"/>
      <c r="AZ71" s="218"/>
      <c r="BA71" s="220"/>
      <c r="BB71" s="218"/>
      <c r="BC71" s="218"/>
      <c r="BD71" s="218"/>
      <c r="BE71" s="218"/>
      <c r="BF71" s="218"/>
      <c r="BG71" s="221"/>
      <c r="BH71" s="218"/>
      <c r="BI71" s="218"/>
      <c r="BJ71" s="218"/>
      <c r="BK71" s="218"/>
      <c r="BL71" s="218"/>
      <c r="BM71" s="222"/>
      <c r="BN71" s="217"/>
      <c r="BO71" s="218"/>
      <c r="BP71" s="218"/>
      <c r="BQ71" s="218"/>
      <c r="BR71" s="218"/>
      <c r="BS71" s="219"/>
      <c r="BT71" s="218"/>
      <c r="BU71" s="218"/>
      <c r="BV71" s="218"/>
      <c r="BW71" s="218"/>
      <c r="BX71" s="218"/>
      <c r="BY71" s="220"/>
      <c r="BZ71" s="218"/>
      <c r="CA71" s="218"/>
      <c r="CB71" s="218"/>
      <c r="CC71" s="218"/>
      <c r="CD71" s="218"/>
      <c r="CE71" s="221"/>
      <c r="CF71" s="218"/>
      <c r="CG71" s="218"/>
      <c r="CH71" s="218"/>
      <c r="CI71" s="218"/>
      <c r="CJ71" s="218"/>
      <c r="CK71" s="220"/>
      <c r="CL71" s="218"/>
      <c r="CM71" s="218"/>
      <c r="CN71" s="218"/>
      <c r="CO71" s="218"/>
      <c r="CP71" s="218"/>
      <c r="CQ71" s="221"/>
      <c r="CR71" s="218"/>
      <c r="CS71" s="218"/>
      <c r="CT71" s="218"/>
      <c r="CU71" s="218"/>
      <c r="CV71" s="218"/>
      <c r="CW71" s="220"/>
      <c r="CX71" s="218"/>
      <c r="CY71" s="218"/>
      <c r="CZ71" s="218"/>
      <c r="DA71" s="218"/>
      <c r="DB71" s="218"/>
      <c r="DC71" s="221"/>
      <c r="DD71" s="218"/>
      <c r="DE71" s="218"/>
      <c r="DF71" s="218"/>
      <c r="DG71" s="218"/>
      <c r="DH71" s="218"/>
      <c r="DI71" s="220"/>
      <c r="DJ71" s="218"/>
      <c r="DK71" s="218"/>
      <c r="DL71" s="218"/>
      <c r="DM71" s="218"/>
      <c r="DN71" s="218"/>
      <c r="DO71" s="221"/>
      <c r="DP71" s="218"/>
      <c r="DQ71" s="218"/>
      <c r="DR71" s="218"/>
      <c r="DS71" s="218"/>
      <c r="DT71" s="218"/>
      <c r="DU71" s="222"/>
      <c r="DV71" s="217"/>
      <c r="DW71" s="218"/>
      <c r="DX71" s="218"/>
      <c r="DY71" s="218"/>
      <c r="DZ71" s="218"/>
      <c r="EA71" s="219"/>
      <c r="EB71" s="218"/>
      <c r="EC71" s="218"/>
      <c r="ED71" s="218"/>
      <c r="EE71" s="218"/>
      <c r="EF71" s="218"/>
      <c r="EG71" s="220"/>
      <c r="EH71" s="218"/>
      <c r="EI71" s="218"/>
      <c r="EJ71" s="218"/>
      <c r="EK71" s="218"/>
      <c r="EL71" s="218"/>
      <c r="EM71" s="221"/>
      <c r="EN71" s="218"/>
      <c r="EO71" s="218"/>
      <c r="EP71" s="218"/>
      <c r="EQ71" s="218"/>
      <c r="ER71" s="218"/>
      <c r="ES71" s="220"/>
      <c r="ET71" s="218"/>
      <c r="EU71" s="218"/>
      <c r="EV71" s="218"/>
      <c r="EW71" s="218"/>
      <c r="EX71" s="218"/>
      <c r="EY71" s="221"/>
      <c r="EZ71" s="218"/>
      <c r="FA71" s="218"/>
      <c r="FB71" s="218"/>
      <c r="FC71" s="218"/>
      <c r="FD71" s="218"/>
      <c r="FE71" s="220"/>
      <c r="FF71" s="218"/>
      <c r="FG71" s="218"/>
      <c r="FH71" s="218"/>
      <c r="FI71" s="218"/>
      <c r="FJ71" s="218"/>
      <c r="FK71" s="221"/>
      <c r="FL71" s="218"/>
      <c r="FM71" s="218"/>
      <c r="FN71" s="218"/>
      <c r="FO71" s="218"/>
      <c r="FP71" s="218"/>
      <c r="FQ71" s="220"/>
      <c r="FR71" s="218"/>
      <c r="FS71" s="218"/>
      <c r="FT71" s="218"/>
      <c r="FU71" s="218"/>
      <c r="FV71" s="218"/>
      <c r="FW71" s="221"/>
      <c r="FX71" s="218"/>
      <c r="FY71" s="218"/>
      <c r="FZ71" s="218"/>
      <c r="GA71" s="218"/>
      <c r="GB71" s="218"/>
      <c r="GC71" s="222"/>
      <c r="GD71" s="217"/>
      <c r="GE71" s="218"/>
      <c r="GF71" s="218"/>
      <c r="GG71" s="218"/>
      <c r="GH71" s="218"/>
      <c r="GI71" s="219"/>
      <c r="GJ71" s="218"/>
      <c r="GK71" s="218"/>
      <c r="GL71" s="218"/>
      <c r="GM71" s="218"/>
      <c r="GN71" s="218"/>
      <c r="GO71" s="220"/>
      <c r="GP71" s="218"/>
      <c r="GQ71" s="218"/>
      <c r="GR71" s="218"/>
      <c r="GS71" s="218"/>
      <c r="GT71" s="218"/>
      <c r="GU71" s="221"/>
      <c r="GV71" s="218"/>
      <c r="GW71" s="218"/>
      <c r="GX71" s="218"/>
      <c r="GY71" s="218"/>
      <c r="GZ71" s="218"/>
      <c r="HA71" s="220"/>
      <c r="HB71" s="218"/>
      <c r="HC71" s="218"/>
      <c r="HD71" s="218"/>
      <c r="HE71" s="218"/>
      <c r="HF71" s="218"/>
      <c r="HG71" s="221"/>
      <c r="HH71" s="218"/>
      <c r="HI71" s="218"/>
      <c r="HJ71" s="218"/>
      <c r="HK71" s="218"/>
      <c r="HL71" s="218"/>
      <c r="HM71" s="220"/>
      <c r="HN71" s="218"/>
      <c r="HO71" s="218"/>
      <c r="HP71" s="218"/>
      <c r="HQ71" s="218"/>
      <c r="HR71" s="218"/>
      <c r="HS71" s="221"/>
      <c r="HT71" s="218"/>
      <c r="HU71" s="218"/>
      <c r="HV71" s="218"/>
      <c r="HW71" s="218"/>
      <c r="HX71" s="218"/>
      <c r="HY71" s="220"/>
      <c r="HZ71" s="218"/>
      <c r="IA71" s="218"/>
      <c r="IB71" s="218"/>
      <c r="IC71" s="218"/>
      <c r="ID71" s="218"/>
      <c r="IE71" s="221"/>
      <c r="IF71" s="218"/>
      <c r="IG71" s="218"/>
      <c r="IH71" s="218"/>
      <c r="II71" s="218"/>
      <c r="IJ71" s="218"/>
      <c r="IK71" s="222"/>
      <c r="IL71" s="217"/>
      <c r="IM71" s="218"/>
      <c r="IN71" s="218"/>
      <c r="IO71" s="218"/>
      <c r="IP71" s="218"/>
      <c r="IQ71" s="219"/>
      <c r="IR71" s="218"/>
      <c r="IS71" s="218"/>
      <c r="IT71" s="218"/>
      <c r="IU71" s="218"/>
      <c r="IV71" s="218"/>
      <c r="IW71" s="220"/>
      <c r="IX71" s="218"/>
      <c r="IY71" s="218"/>
      <c r="IZ71" s="218"/>
      <c r="JA71" s="218"/>
      <c r="JB71" s="218"/>
      <c r="JC71" s="221"/>
      <c r="JD71" s="218"/>
      <c r="JE71" s="218"/>
      <c r="JF71" s="218"/>
      <c r="JG71" s="218"/>
      <c r="JH71" s="218"/>
      <c r="JI71" s="220"/>
      <c r="JJ71" s="218"/>
      <c r="JK71" s="218"/>
      <c r="JL71" s="218"/>
      <c r="JM71" s="218"/>
      <c r="JN71" s="218"/>
      <c r="JO71" s="221"/>
      <c r="JP71" s="218"/>
      <c r="JQ71" s="218"/>
      <c r="JR71" s="218"/>
      <c r="JS71" s="218"/>
      <c r="JT71" s="218"/>
      <c r="JU71" s="220"/>
      <c r="JV71" s="218"/>
      <c r="JW71" s="218"/>
      <c r="JX71" s="218"/>
      <c r="JY71" s="218"/>
      <c r="JZ71" s="218"/>
      <c r="KA71" s="221"/>
      <c r="KB71" s="218"/>
      <c r="KC71" s="218"/>
      <c r="KD71" s="218"/>
      <c r="KE71" s="218"/>
      <c r="KF71" s="218"/>
      <c r="KG71" s="220"/>
      <c r="KH71" s="218"/>
      <c r="KI71" s="218"/>
      <c r="KJ71" s="218"/>
      <c r="KK71" s="218"/>
      <c r="KL71" s="218"/>
      <c r="KM71" s="221"/>
      <c r="KN71" s="218"/>
      <c r="KO71" s="218"/>
      <c r="KP71" s="218"/>
      <c r="KQ71" s="218"/>
      <c r="KR71" s="218"/>
      <c r="KS71" s="222"/>
      <c r="KT71" s="217"/>
      <c r="KU71" s="218"/>
      <c r="KV71" s="218"/>
      <c r="KW71" s="218"/>
      <c r="KX71" s="218"/>
      <c r="KY71" s="219"/>
      <c r="KZ71" s="218"/>
      <c r="LA71" s="218"/>
      <c r="LB71" s="218"/>
      <c r="LC71" s="218"/>
      <c r="LD71" s="218"/>
      <c r="LE71" s="220"/>
      <c r="LF71" s="218"/>
      <c r="LG71" s="218"/>
      <c r="LH71" s="218"/>
      <c r="LI71" s="218"/>
      <c r="LJ71" s="218"/>
      <c r="LK71" s="221"/>
      <c r="LL71" s="218"/>
      <c r="LM71" s="218"/>
      <c r="LN71" s="218"/>
      <c r="LO71" s="218"/>
      <c r="LP71" s="218"/>
      <c r="LQ71" s="220"/>
      <c r="LR71" s="218"/>
      <c r="LS71" s="218"/>
      <c r="LT71" s="218"/>
      <c r="LU71" s="218"/>
      <c r="LV71" s="218"/>
      <c r="LW71" s="221"/>
      <c r="LX71" s="218"/>
      <c r="LY71" s="218"/>
      <c r="LZ71" s="218"/>
      <c r="MA71" s="218"/>
      <c r="MB71" s="218"/>
      <c r="MC71" s="220"/>
      <c r="MD71" s="218"/>
      <c r="ME71" s="218"/>
      <c r="MF71" s="218"/>
      <c r="MG71" s="218"/>
      <c r="MH71" s="218"/>
      <c r="MI71" s="221"/>
      <c r="MJ71" s="218"/>
      <c r="MK71" s="218"/>
      <c r="ML71" s="218"/>
      <c r="MM71" s="218"/>
      <c r="MN71" s="218"/>
      <c r="MO71" s="220"/>
      <c r="MP71" s="218"/>
      <c r="MQ71" s="218"/>
      <c r="MR71" s="218"/>
      <c r="MS71" s="218"/>
      <c r="MT71" s="218"/>
      <c r="MU71" s="221"/>
      <c r="MV71" s="218"/>
      <c r="MW71" s="218"/>
      <c r="MX71" s="218"/>
      <c r="MY71" s="218"/>
      <c r="MZ71" s="218"/>
      <c r="NA71" s="222"/>
      <c r="NB71" s="217"/>
      <c r="NC71" s="218"/>
      <c r="ND71" s="218"/>
      <c r="NE71" s="218"/>
      <c r="NF71" s="218"/>
      <c r="NG71" s="219"/>
      <c r="NH71" s="218"/>
      <c r="NI71" s="218"/>
      <c r="NJ71" s="218"/>
      <c r="NK71" s="218"/>
      <c r="NL71" s="218"/>
      <c r="NM71" s="220"/>
      <c r="NN71" s="218"/>
      <c r="NO71" s="218"/>
      <c r="NP71" s="218"/>
      <c r="NQ71" s="218"/>
      <c r="NR71" s="218"/>
      <c r="NS71" s="221"/>
      <c r="NT71" s="218"/>
      <c r="NU71" s="218"/>
      <c r="NV71" s="218"/>
      <c r="NW71" s="218"/>
      <c r="NX71" s="218"/>
      <c r="NY71" s="220"/>
      <c r="NZ71" s="218"/>
      <c r="OA71" s="218"/>
      <c r="OB71" s="218"/>
      <c r="OC71" s="218"/>
      <c r="OD71" s="218"/>
      <c r="OE71" s="221"/>
      <c r="OF71" s="218"/>
      <c r="OG71" s="218"/>
      <c r="OH71" s="218"/>
      <c r="OI71" s="218"/>
      <c r="OJ71" s="218"/>
      <c r="OK71" s="220"/>
      <c r="OL71" s="218"/>
      <c r="OM71" s="218"/>
      <c r="ON71" s="218"/>
      <c r="OO71" s="218"/>
      <c r="OP71" s="218"/>
      <c r="OQ71" s="221"/>
      <c r="OR71" s="218"/>
      <c r="OS71" s="218"/>
      <c r="OT71" s="218"/>
      <c r="OU71" s="218"/>
      <c r="OV71" s="218"/>
      <c r="OW71" s="220"/>
      <c r="OX71" s="218"/>
      <c r="OY71" s="218"/>
      <c r="OZ71" s="218"/>
      <c r="PA71" s="218"/>
      <c r="PB71" s="218"/>
      <c r="PC71" s="221"/>
      <c r="PD71" s="218"/>
      <c r="PE71" s="218"/>
      <c r="PF71" s="218"/>
      <c r="PG71" s="218"/>
      <c r="PH71" s="218"/>
      <c r="PI71" s="222"/>
      <c r="PJ71" s="217"/>
      <c r="PK71" s="218"/>
      <c r="PL71" s="218"/>
      <c r="PM71" s="218"/>
      <c r="PN71" s="218"/>
      <c r="PO71" s="219"/>
      <c r="PP71" s="218"/>
      <c r="PQ71" s="218"/>
      <c r="PR71" s="218"/>
      <c r="PS71" s="218"/>
      <c r="PT71" s="218"/>
      <c r="PU71" s="220"/>
      <c r="PV71" s="218"/>
      <c r="PW71" s="218"/>
      <c r="PX71" s="218"/>
      <c r="PY71" s="218"/>
      <c r="PZ71" s="218"/>
      <c r="QA71" s="221"/>
      <c r="QB71" s="218"/>
      <c r="QC71" s="218"/>
      <c r="QD71" s="218"/>
      <c r="QE71" s="218"/>
      <c r="QF71" s="218"/>
      <c r="QG71" s="220"/>
      <c r="QH71" s="218"/>
      <c r="QI71" s="218"/>
      <c r="QJ71" s="218"/>
      <c r="QK71" s="218"/>
      <c r="QL71" s="218"/>
      <c r="QM71" s="221"/>
      <c r="QN71" s="218"/>
      <c r="QO71" s="218"/>
      <c r="QP71" s="218"/>
      <c r="QQ71" s="218"/>
      <c r="QR71" s="218"/>
      <c r="QS71" s="220"/>
      <c r="QT71" s="218"/>
      <c r="QU71" s="218"/>
      <c r="QV71" s="218"/>
      <c r="QW71" s="218"/>
      <c r="QX71" s="218"/>
      <c r="QY71" s="221"/>
      <c r="QZ71" s="218"/>
      <c r="RA71" s="218"/>
      <c r="RB71" s="218"/>
      <c r="RC71" s="218"/>
      <c r="RD71" s="218"/>
      <c r="RE71" s="220"/>
      <c r="RF71" s="218"/>
      <c r="RG71" s="218"/>
      <c r="RH71" s="218"/>
      <c r="RI71" s="218"/>
      <c r="RJ71" s="218"/>
      <c r="RK71" s="221"/>
      <c r="RL71" s="218"/>
      <c r="RM71" s="218"/>
      <c r="RN71" s="218"/>
      <c r="RO71" s="218"/>
      <c r="RP71" s="218"/>
      <c r="RQ71" s="222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73"/>
    </row>
    <row r="72" spans="1:1326" ht="20.100000000000001" customHeight="1" x14ac:dyDescent="0.25">
      <c r="A72" s="78" t="s">
        <v>27</v>
      </c>
      <c r="B72" s="51"/>
      <c r="C72" s="169"/>
      <c r="D72" s="120" t="str">
        <f t="shared" si="0"/>
        <v>90h</v>
      </c>
      <c r="E72" s="22">
        <v>1080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73"/>
    </row>
    <row r="73" spans="1:1326" ht="20.100000000000001" customHeight="1" x14ac:dyDescent="0.25">
      <c r="A73" s="78" t="s">
        <v>26</v>
      </c>
      <c r="B73" s="51"/>
      <c r="C73" s="163" t="s">
        <v>60</v>
      </c>
      <c r="D73" s="119" t="str">
        <f t="shared" si="0"/>
        <v>90h</v>
      </c>
      <c r="E73" s="26">
        <v>1080</v>
      </c>
      <c r="F73" s="211"/>
      <c r="G73" s="212"/>
      <c r="H73" s="212"/>
      <c r="I73" s="212"/>
      <c r="J73" s="212"/>
      <c r="K73" s="213"/>
      <c r="L73" s="212"/>
      <c r="M73" s="212"/>
      <c r="N73" s="212"/>
      <c r="O73" s="212"/>
      <c r="P73" s="212"/>
      <c r="Q73" s="214"/>
      <c r="R73" s="212"/>
      <c r="S73" s="212"/>
      <c r="T73" s="212"/>
      <c r="U73" s="212"/>
      <c r="V73" s="212"/>
      <c r="W73" s="215"/>
      <c r="X73" s="212"/>
      <c r="Y73" s="212"/>
      <c r="Z73" s="212"/>
      <c r="AA73" s="212"/>
      <c r="AB73" s="212"/>
      <c r="AC73" s="214"/>
      <c r="AD73" s="212"/>
      <c r="AE73" s="212"/>
      <c r="AF73" s="212"/>
      <c r="AG73" s="212"/>
      <c r="AH73" s="212"/>
      <c r="AI73" s="215"/>
      <c r="AJ73" s="212"/>
      <c r="AK73" s="212"/>
      <c r="AL73" s="212"/>
      <c r="AM73" s="212"/>
      <c r="AN73" s="212"/>
      <c r="AO73" s="214"/>
      <c r="AP73" s="212"/>
      <c r="AQ73" s="212"/>
      <c r="AR73" s="212"/>
      <c r="AS73" s="212"/>
      <c r="AT73" s="212"/>
      <c r="AU73" s="215"/>
      <c r="AV73" s="212"/>
      <c r="AW73" s="212"/>
      <c r="AX73" s="212"/>
      <c r="AY73" s="212"/>
      <c r="AZ73" s="212"/>
      <c r="BA73" s="214"/>
      <c r="BB73" s="212"/>
      <c r="BC73" s="212"/>
      <c r="BD73" s="212"/>
      <c r="BE73" s="212"/>
      <c r="BF73" s="212"/>
      <c r="BG73" s="215"/>
      <c r="BH73" s="212"/>
      <c r="BI73" s="212"/>
      <c r="BJ73" s="212"/>
      <c r="BK73" s="212"/>
      <c r="BL73" s="212"/>
      <c r="BM73" s="216"/>
      <c r="BN73" s="211"/>
      <c r="BO73" s="212"/>
      <c r="BP73" s="212"/>
      <c r="BQ73" s="212"/>
      <c r="BR73" s="212"/>
      <c r="BS73" s="213"/>
      <c r="BT73" s="212"/>
      <c r="BU73" s="212"/>
      <c r="BV73" s="212"/>
      <c r="BW73" s="212"/>
      <c r="BX73" s="212"/>
      <c r="BY73" s="214"/>
      <c r="BZ73" s="212"/>
      <c r="CA73" s="212"/>
      <c r="CB73" s="212"/>
      <c r="CC73" s="212"/>
      <c r="CD73" s="212"/>
      <c r="CE73" s="215"/>
      <c r="CF73" s="212"/>
      <c r="CG73" s="212"/>
      <c r="CH73" s="212"/>
      <c r="CI73" s="212"/>
      <c r="CJ73" s="212"/>
      <c r="CK73" s="214"/>
      <c r="CL73" s="212"/>
      <c r="CM73" s="212"/>
      <c r="CN73" s="212"/>
      <c r="CO73" s="212"/>
      <c r="CP73" s="212"/>
      <c r="CQ73" s="215"/>
      <c r="CR73" s="212"/>
      <c r="CS73" s="212"/>
      <c r="CT73" s="212"/>
      <c r="CU73" s="212"/>
      <c r="CV73" s="212"/>
      <c r="CW73" s="214"/>
      <c r="CX73" s="212"/>
      <c r="CY73" s="212"/>
      <c r="CZ73" s="212"/>
      <c r="DA73" s="212"/>
      <c r="DB73" s="212"/>
      <c r="DC73" s="215"/>
      <c r="DD73" s="212"/>
      <c r="DE73" s="212"/>
      <c r="DF73" s="212"/>
      <c r="DG73" s="212"/>
      <c r="DH73" s="212"/>
      <c r="DI73" s="214"/>
      <c r="DJ73" s="212"/>
      <c r="DK73" s="212"/>
      <c r="DL73" s="212"/>
      <c r="DM73" s="212"/>
      <c r="DN73" s="212"/>
      <c r="DO73" s="215"/>
      <c r="DP73" s="212"/>
      <c r="DQ73" s="212"/>
      <c r="DR73" s="212"/>
      <c r="DS73" s="212"/>
      <c r="DT73" s="212"/>
      <c r="DU73" s="216"/>
      <c r="DV73" s="211"/>
      <c r="DW73" s="212"/>
      <c r="DX73" s="212"/>
      <c r="DY73" s="212"/>
      <c r="DZ73" s="212"/>
      <c r="EA73" s="213"/>
      <c r="EB73" s="212"/>
      <c r="EC73" s="212"/>
      <c r="ED73" s="212"/>
      <c r="EE73" s="212"/>
      <c r="EF73" s="212"/>
      <c r="EG73" s="214"/>
      <c r="EH73" s="212"/>
      <c r="EI73" s="212"/>
      <c r="EJ73" s="212"/>
      <c r="EK73" s="212"/>
      <c r="EL73" s="212"/>
      <c r="EM73" s="215"/>
      <c r="EN73" s="212"/>
      <c r="EO73" s="212"/>
      <c r="EP73" s="212"/>
      <c r="EQ73" s="212"/>
      <c r="ER73" s="212"/>
      <c r="ES73" s="214"/>
      <c r="ET73" s="212"/>
      <c r="EU73" s="212"/>
      <c r="EV73" s="212"/>
      <c r="EW73" s="212"/>
      <c r="EX73" s="212"/>
      <c r="EY73" s="215"/>
      <c r="EZ73" s="212"/>
      <c r="FA73" s="212"/>
      <c r="FB73" s="212"/>
      <c r="FC73" s="212"/>
      <c r="FD73" s="212"/>
      <c r="FE73" s="214"/>
      <c r="FF73" s="212"/>
      <c r="FG73" s="212"/>
      <c r="FH73" s="212"/>
      <c r="FI73" s="212"/>
      <c r="FJ73" s="212"/>
      <c r="FK73" s="215"/>
      <c r="FL73" s="212"/>
      <c r="FM73" s="212"/>
      <c r="FN73" s="212"/>
      <c r="FO73" s="212"/>
      <c r="FP73" s="212"/>
      <c r="FQ73" s="214"/>
      <c r="FR73" s="212"/>
      <c r="FS73" s="212"/>
      <c r="FT73" s="212"/>
      <c r="FU73" s="212"/>
      <c r="FV73" s="212"/>
      <c r="FW73" s="215"/>
      <c r="FX73" s="212"/>
      <c r="FY73" s="212"/>
      <c r="FZ73" s="212"/>
      <c r="GA73" s="212"/>
      <c r="GB73" s="212"/>
      <c r="GC73" s="216"/>
      <c r="GD73" s="211"/>
      <c r="GE73" s="212"/>
      <c r="GF73" s="212"/>
      <c r="GG73" s="212"/>
      <c r="GH73" s="212"/>
      <c r="GI73" s="213"/>
      <c r="GJ73" s="212"/>
      <c r="GK73" s="212"/>
      <c r="GL73" s="212"/>
      <c r="GM73" s="212"/>
      <c r="GN73" s="212"/>
      <c r="GO73" s="214"/>
      <c r="GP73" s="212"/>
      <c r="GQ73" s="212"/>
      <c r="GR73" s="212"/>
      <c r="GS73" s="212"/>
      <c r="GT73" s="212"/>
      <c r="GU73" s="215"/>
      <c r="GV73" s="212"/>
      <c r="GW73" s="212"/>
      <c r="GX73" s="212"/>
      <c r="GY73" s="212"/>
      <c r="GZ73" s="212"/>
      <c r="HA73" s="214"/>
      <c r="HB73" s="212"/>
      <c r="HC73" s="212"/>
      <c r="HD73" s="212"/>
      <c r="HE73" s="212"/>
      <c r="HF73" s="212"/>
      <c r="HG73" s="215"/>
      <c r="HH73" s="212"/>
      <c r="HI73" s="212"/>
      <c r="HJ73" s="212"/>
      <c r="HK73" s="212"/>
      <c r="HL73" s="212"/>
      <c r="HM73" s="214"/>
      <c r="HN73" s="212"/>
      <c r="HO73" s="212"/>
      <c r="HP73" s="212"/>
      <c r="HQ73" s="212"/>
      <c r="HR73" s="212"/>
      <c r="HS73" s="215"/>
      <c r="HT73" s="212"/>
      <c r="HU73" s="212"/>
      <c r="HV73" s="212"/>
      <c r="HW73" s="212"/>
      <c r="HX73" s="212"/>
      <c r="HY73" s="214"/>
      <c r="HZ73" s="212"/>
      <c r="IA73" s="212"/>
      <c r="IB73" s="212"/>
      <c r="IC73" s="212"/>
      <c r="ID73" s="212"/>
      <c r="IE73" s="215"/>
      <c r="IF73" s="212"/>
      <c r="IG73" s="212"/>
      <c r="IH73" s="212"/>
      <c r="II73" s="212"/>
      <c r="IJ73" s="212"/>
      <c r="IK73" s="216"/>
      <c r="IL73" s="211"/>
      <c r="IM73" s="212"/>
      <c r="IN73" s="212"/>
      <c r="IO73" s="212"/>
      <c r="IP73" s="212"/>
      <c r="IQ73" s="213"/>
      <c r="IR73" s="212"/>
      <c r="IS73" s="212"/>
      <c r="IT73" s="212"/>
      <c r="IU73" s="212"/>
      <c r="IV73" s="212"/>
      <c r="IW73" s="214"/>
      <c r="IX73" s="212"/>
      <c r="IY73" s="212"/>
      <c r="IZ73" s="212"/>
      <c r="JA73" s="212"/>
      <c r="JB73" s="212"/>
      <c r="JC73" s="215"/>
      <c r="JD73" s="212"/>
      <c r="JE73" s="212"/>
      <c r="JF73" s="212"/>
      <c r="JG73" s="212"/>
      <c r="JH73" s="212"/>
      <c r="JI73" s="214"/>
      <c r="JJ73" s="212"/>
      <c r="JK73" s="212"/>
      <c r="JL73" s="212"/>
      <c r="JM73" s="212"/>
      <c r="JN73" s="212"/>
      <c r="JO73" s="215"/>
      <c r="JP73" s="212"/>
      <c r="JQ73" s="212"/>
      <c r="JR73" s="212"/>
      <c r="JS73" s="212"/>
      <c r="JT73" s="212"/>
      <c r="JU73" s="214"/>
      <c r="JV73" s="212"/>
      <c r="JW73" s="212"/>
      <c r="JX73" s="212"/>
      <c r="JY73" s="212"/>
      <c r="JZ73" s="212"/>
      <c r="KA73" s="215"/>
      <c r="KB73" s="212"/>
      <c r="KC73" s="212"/>
      <c r="KD73" s="212"/>
      <c r="KE73" s="212"/>
      <c r="KF73" s="212"/>
      <c r="KG73" s="214"/>
      <c r="KH73" s="212"/>
      <c r="KI73" s="212"/>
      <c r="KJ73" s="212"/>
      <c r="KK73" s="212"/>
      <c r="KL73" s="212"/>
      <c r="KM73" s="215"/>
      <c r="KN73" s="212"/>
      <c r="KO73" s="212"/>
      <c r="KP73" s="212"/>
      <c r="KQ73" s="212"/>
      <c r="KR73" s="212"/>
      <c r="KS73" s="216"/>
      <c r="KT73" s="211"/>
      <c r="KU73" s="212"/>
      <c r="KV73" s="212"/>
      <c r="KW73" s="212"/>
      <c r="KX73" s="212"/>
      <c r="KY73" s="213"/>
      <c r="KZ73" s="212"/>
      <c r="LA73" s="212"/>
      <c r="LB73" s="212"/>
      <c r="LC73" s="212"/>
      <c r="LD73" s="212"/>
      <c r="LE73" s="214"/>
      <c r="LF73" s="212"/>
      <c r="LG73" s="212"/>
      <c r="LH73" s="212"/>
      <c r="LI73" s="212"/>
      <c r="LJ73" s="212"/>
      <c r="LK73" s="215"/>
      <c r="LL73" s="212"/>
      <c r="LM73" s="212"/>
      <c r="LN73" s="212"/>
      <c r="LO73" s="212"/>
      <c r="LP73" s="212"/>
      <c r="LQ73" s="214"/>
      <c r="LR73" s="212"/>
      <c r="LS73" s="212"/>
      <c r="LT73" s="212"/>
      <c r="LU73" s="212"/>
      <c r="LV73" s="212"/>
      <c r="LW73" s="215"/>
      <c r="LX73" s="212"/>
      <c r="LY73" s="212"/>
      <c r="LZ73" s="212"/>
      <c r="MA73" s="212"/>
      <c r="MB73" s="212"/>
      <c r="MC73" s="214"/>
      <c r="MD73" s="212"/>
      <c r="ME73" s="212"/>
      <c r="MF73" s="212"/>
      <c r="MG73" s="212"/>
      <c r="MH73" s="212"/>
      <c r="MI73" s="215"/>
      <c r="MJ73" s="212"/>
      <c r="MK73" s="212"/>
      <c r="ML73" s="212"/>
      <c r="MM73" s="212"/>
      <c r="MN73" s="212"/>
      <c r="MO73" s="214"/>
      <c r="MP73" s="212"/>
      <c r="MQ73" s="212"/>
      <c r="MR73" s="212"/>
      <c r="MS73" s="212"/>
      <c r="MT73" s="212"/>
      <c r="MU73" s="215"/>
      <c r="MV73" s="212"/>
      <c r="MW73" s="212"/>
      <c r="MX73" s="212"/>
      <c r="MY73" s="212"/>
      <c r="MZ73" s="212"/>
      <c r="NA73" s="216"/>
      <c r="NB73" s="211"/>
      <c r="NC73" s="212"/>
      <c r="ND73" s="212"/>
      <c r="NE73" s="212"/>
      <c r="NF73" s="212"/>
      <c r="NG73" s="213"/>
      <c r="NH73" s="212"/>
      <c r="NI73" s="212"/>
      <c r="NJ73" s="212"/>
      <c r="NK73" s="212"/>
      <c r="NL73" s="212"/>
      <c r="NM73" s="214"/>
      <c r="NN73" s="212"/>
      <c r="NO73" s="212"/>
      <c r="NP73" s="212"/>
      <c r="NQ73" s="212"/>
      <c r="NR73" s="212"/>
      <c r="NS73" s="215"/>
      <c r="NT73" s="212"/>
      <c r="NU73" s="212"/>
      <c r="NV73" s="212"/>
      <c r="NW73" s="212"/>
      <c r="NX73" s="212"/>
      <c r="NY73" s="214"/>
      <c r="NZ73" s="212"/>
      <c r="OA73" s="212"/>
      <c r="OB73" s="212"/>
      <c r="OC73" s="212"/>
      <c r="OD73" s="212"/>
      <c r="OE73" s="215"/>
      <c r="OF73" s="212"/>
      <c r="OG73" s="212"/>
      <c r="OH73" s="212"/>
      <c r="OI73" s="212"/>
      <c r="OJ73" s="212"/>
      <c r="OK73" s="214"/>
      <c r="OL73" s="212"/>
      <c r="OM73" s="212"/>
      <c r="ON73" s="212"/>
      <c r="OO73" s="212"/>
      <c r="OP73" s="212"/>
      <c r="OQ73" s="215"/>
      <c r="OR73" s="212"/>
      <c r="OS73" s="212"/>
      <c r="OT73" s="212"/>
      <c r="OU73" s="212"/>
      <c r="OV73" s="212"/>
      <c r="OW73" s="214"/>
      <c r="OX73" s="212"/>
      <c r="OY73" s="212"/>
      <c r="OZ73" s="212"/>
      <c r="PA73" s="212"/>
      <c r="PB73" s="212"/>
      <c r="PC73" s="215"/>
      <c r="PD73" s="212"/>
      <c r="PE73" s="212"/>
      <c r="PF73" s="212"/>
      <c r="PG73" s="212"/>
      <c r="PH73" s="212"/>
      <c r="PI73" s="216"/>
      <c r="PJ73" s="211"/>
      <c r="PK73" s="212"/>
      <c r="PL73" s="212"/>
      <c r="PM73" s="212"/>
      <c r="PN73" s="212"/>
      <c r="PO73" s="213"/>
      <c r="PP73" s="212"/>
      <c r="PQ73" s="212"/>
      <c r="PR73" s="212"/>
      <c r="PS73" s="212"/>
      <c r="PT73" s="212"/>
      <c r="PU73" s="214"/>
      <c r="PV73" s="212"/>
      <c r="PW73" s="212"/>
      <c r="PX73" s="212"/>
      <c r="PY73" s="212"/>
      <c r="PZ73" s="212"/>
      <c r="QA73" s="215"/>
      <c r="QB73" s="212"/>
      <c r="QC73" s="212"/>
      <c r="QD73" s="212"/>
      <c r="QE73" s="212"/>
      <c r="QF73" s="212"/>
      <c r="QG73" s="214"/>
      <c r="QH73" s="212"/>
      <c r="QI73" s="212"/>
      <c r="QJ73" s="212"/>
      <c r="QK73" s="212"/>
      <c r="QL73" s="212"/>
      <c r="QM73" s="215"/>
      <c r="QN73" s="212"/>
      <c r="QO73" s="212"/>
      <c r="QP73" s="212"/>
      <c r="QQ73" s="212"/>
      <c r="QR73" s="212"/>
      <c r="QS73" s="214"/>
      <c r="QT73" s="212"/>
      <c r="QU73" s="212"/>
      <c r="QV73" s="212"/>
      <c r="QW73" s="212"/>
      <c r="QX73" s="212"/>
      <c r="QY73" s="215"/>
      <c r="QZ73" s="212"/>
      <c r="RA73" s="212"/>
      <c r="RB73" s="212"/>
      <c r="RC73" s="212"/>
      <c r="RD73" s="212"/>
      <c r="RE73" s="214"/>
      <c r="RF73" s="212"/>
      <c r="RG73" s="212"/>
      <c r="RH73" s="212"/>
      <c r="RI73" s="212"/>
      <c r="RJ73" s="212"/>
      <c r="RK73" s="215"/>
      <c r="RL73" s="212"/>
      <c r="RM73" s="212"/>
      <c r="RN73" s="212"/>
      <c r="RO73" s="212"/>
      <c r="RP73" s="212"/>
      <c r="RQ73" s="216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73"/>
    </row>
    <row r="74" spans="1:1326" ht="20.100000000000001" customHeight="1" x14ac:dyDescent="0.3">
      <c r="A74" s="78" t="s">
        <v>27</v>
      </c>
      <c r="B74" s="51"/>
      <c r="C74" s="164"/>
      <c r="D74" s="121" t="str">
        <f t="shared" si="0"/>
        <v>90h</v>
      </c>
      <c r="E74" s="30">
        <v>1080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73"/>
    </row>
    <row r="75" spans="1:1326" ht="20.100000000000001" customHeight="1" x14ac:dyDescent="0.25">
      <c r="A75" s="78" t="s">
        <v>26</v>
      </c>
      <c r="B75" s="51"/>
      <c r="C75" s="163" t="s">
        <v>61</v>
      </c>
      <c r="D75" s="119" t="str">
        <f t="shared" si="0"/>
        <v>90h</v>
      </c>
      <c r="E75" s="26">
        <v>1080</v>
      </c>
      <c r="F75" s="211"/>
      <c r="G75" s="212"/>
      <c r="H75" s="212"/>
      <c r="I75" s="212"/>
      <c r="J75" s="212"/>
      <c r="K75" s="213"/>
      <c r="L75" s="212"/>
      <c r="M75" s="212"/>
      <c r="N75" s="212"/>
      <c r="O75" s="212"/>
      <c r="P75" s="212"/>
      <c r="Q75" s="214"/>
      <c r="R75" s="212"/>
      <c r="S75" s="212"/>
      <c r="T75" s="212"/>
      <c r="U75" s="212"/>
      <c r="V75" s="212"/>
      <c r="W75" s="215"/>
      <c r="X75" s="212"/>
      <c r="Y75" s="212"/>
      <c r="Z75" s="212"/>
      <c r="AA75" s="212"/>
      <c r="AB75" s="212"/>
      <c r="AC75" s="214"/>
      <c r="AD75" s="212"/>
      <c r="AE75" s="212"/>
      <c r="AF75" s="212"/>
      <c r="AG75" s="212"/>
      <c r="AH75" s="212"/>
      <c r="AI75" s="215"/>
      <c r="AJ75" s="212"/>
      <c r="AK75" s="212"/>
      <c r="AL75" s="212"/>
      <c r="AM75" s="212"/>
      <c r="AN75" s="212"/>
      <c r="AO75" s="214"/>
      <c r="AP75" s="212"/>
      <c r="AQ75" s="212"/>
      <c r="AR75" s="212"/>
      <c r="AS75" s="212"/>
      <c r="AT75" s="212"/>
      <c r="AU75" s="215"/>
      <c r="AV75" s="212"/>
      <c r="AW75" s="212"/>
      <c r="AX75" s="212"/>
      <c r="AY75" s="212"/>
      <c r="AZ75" s="212"/>
      <c r="BA75" s="214"/>
      <c r="BB75" s="212"/>
      <c r="BC75" s="212"/>
      <c r="BD75" s="212"/>
      <c r="BE75" s="212"/>
      <c r="BF75" s="212"/>
      <c r="BG75" s="215"/>
      <c r="BH75" s="212"/>
      <c r="BI75" s="212"/>
      <c r="BJ75" s="212"/>
      <c r="BK75" s="212"/>
      <c r="BL75" s="212"/>
      <c r="BM75" s="216"/>
      <c r="BN75" s="211"/>
      <c r="BO75" s="212"/>
      <c r="BP75" s="212"/>
      <c r="BQ75" s="212"/>
      <c r="BR75" s="212"/>
      <c r="BS75" s="213"/>
      <c r="BT75" s="212"/>
      <c r="BU75" s="212"/>
      <c r="BV75" s="212"/>
      <c r="BW75" s="212"/>
      <c r="BX75" s="212"/>
      <c r="BY75" s="214"/>
      <c r="BZ75" s="212"/>
      <c r="CA75" s="212"/>
      <c r="CB75" s="212"/>
      <c r="CC75" s="212"/>
      <c r="CD75" s="212"/>
      <c r="CE75" s="215"/>
      <c r="CF75" s="212"/>
      <c r="CG75" s="212"/>
      <c r="CH75" s="212"/>
      <c r="CI75" s="212"/>
      <c r="CJ75" s="212"/>
      <c r="CK75" s="214"/>
      <c r="CL75" s="212"/>
      <c r="CM75" s="212"/>
      <c r="CN75" s="212"/>
      <c r="CO75" s="212"/>
      <c r="CP75" s="212"/>
      <c r="CQ75" s="215"/>
      <c r="CR75" s="212"/>
      <c r="CS75" s="212"/>
      <c r="CT75" s="212"/>
      <c r="CU75" s="212"/>
      <c r="CV75" s="212"/>
      <c r="CW75" s="214"/>
      <c r="CX75" s="212"/>
      <c r="CY75" s="212"/>
      <c r="CZ75" s="212"/>
      <c r="DA75" s="212"/>
      <c r="DB75" s="212"/>
      <c r="DC75" s="215"/>
      <c r="DD75" s="212"/>
      <c r="DE75" s="212"/>
      <c r="DF75" s="212"/>
      <c r="DG75" s="212"/>
      <c r="DH75" s="212"/>
      <c r="DI75" s="214"/>
      <c r="DJ75" s="212"/>
      <c r="DK75" s="212"/>
      <c r="DL75" s="212"/>
      <c r="DM75" s="212"/>
      <c r="DN75" s="212"/>
      <c r="DO75" s="215"/>
      <c r="DP75" s="212"/>
      <c r="DQ75" s="212"/>
      <c r="DR75" s="212"/>
      <c r="DS75" s="212"/>
      <c r="DT75" s="212"/>
      <c r="DU75" s="216"/>
      <c r="DV75" s="211"/>
      <c r="DW75" s="212"/>
      <c r="DX75" s="212"/>
      <c r="DY75" s="212"/>
      <c r="DZ75" s="212"/>
      <c r="EA75" s="213"/>
      <c r="EB75" s="212"/>
      <c r="EC75" s="212"/>
      <c r="ED75" s="212"/>
      <c r="EE75" s="212"/>
      <c r="EF75" s="212"/>
      <c r="EG75" s="214"/>
      <c r="EH75" s="212"/>
      <c r="EI75" s="212"/>
      <c r="EJ75" s="212"/>
      <c r="EK75" s="212"/>
      <c r="EL75" s="212"/>
      <c r="EM75" s="215"/>
      <c r="EN75" s="212"/>
      <c r="EO75" s="212"/>
      <c r="EP75" s="212"/>
      <c r="EQ75" s="212"/>
      <c r="ER75" s="212"/>
      <c r="ES75" s="214"/>
      <c r="ET75" s="212"/>
      <c r="EU75" s="212"/>
      <c r="EV75" s="212"/>
      <c r="EW75" s="212"/>
      <c r="EX75" s="212"/>
      <c r="EY75" s="215"/>
      <c r="EZ75" s="212"/>
      <c r="FA75" s="212"/>
      <c r="FB75" s="212"/>
      <c r="FC75" s="212"/>
      <c r="FD75" s="212"/>
      <c r="FE75" s="214"/>
      <c r="FF75" s="212"/>
      <c r="FG75" s="212"/>
      <c r="FH75" s="212"/>
      <c r="FI75" s="212"/>
      <c r="FJ75" s="212"/>
      <c r="FK75" s="215"/>
      <c r="FL75" s="212"/>
      <c r="FM75" s="212"/>
      <c r="FN75" s="212"/>
      <c r="FO75" s="212"/>
      <c r="FP75" s="212"/>
      <c r="FQ75" s="214"/>
      <c r="FR75" s="212"/>
      <c r="FS75" s="212"/>
      <c r="FT75" s="212"/>
      <c r="FU75" s="212"/>
      <c r="FV75" s="212"/>
      <c r="FW75" s="215"/>
      <c r="FX75" s="212"/>
      <c r="FY75" s="212"/>
      <c r="FZ75" s="212"/>
      <c r="GA75" s="212"/>
      <c r="GB75" s="212"/>
      <c r="GC75" s="216"/>
      <c r="GD75" s="211"/>
      <c r="GE75" s="212"/>
      <c r="GF75" s="212"/>
      <c r="GG75" s="212"/>
      <c r="GH75" s="212"/>
      <c r="GI75" s="213"/>
      <c r="GJ75" s="212"/>
      <c r="GK75" s="212"/>
      <c r="GL75" s="212"/>
      <c r="GM75" s="212"/>
      <c r="GN75" s="212"/>
      <c r="GO75" s="214"/>
      <c r="GP75" s="212"/>
      <c r="GQ75" s="212"/>
      <c r="GR75" s="212"/>
      <c r="GS75" s="212"/>
      <c r="GT75" s="212"/>
      <c r="GU75" s="215"/>
      <c r="GV75" s="212"/>
      <c r="GW75" s="212"/>
      <c r="GX75" s="212"/>
      <c r="GY75" s="212"/>
      <c r="GZ75" s="212"/>
      <c r="HA75" s="214"/>
      <c r="HB75" s="212"/>
      <c r="HC75" s="212"/>
      <c r="HD75" s="212"/>
      <c r="HE75" s="212"/>
      <c r="HF75" s="212"/>
      <c r="HG75" s="215"/>
      <c r="HH75" s="212"/>
      <c r="HI75" s="212"/>
      <c r="HJ75" s="212"/>
      <c r="HK75" s="212"/>
      <c r="HL75" s="212"/>
      <c r="HM75" s="214"/>
      <c r="HN75" s="212"/>
      <c r="HO75" s="212"/>
      <c r="HP75" s="212"/>
      <c r="HQ75" s="212"/>
      <c r="HR75" s="212"/>
      <c r="HS75" s="215"/>
      <c r="HT75" s="212"/>
      <c r="HU75" s="212"/>
      <c r="HV75" s="212"/>
      <c r="HW75" s="212"/>
      <c r="HX75" s="212"/>
      <c r="HY75" s="214"/>
      <c r="HZ75" s="212"/>
      <c r="IA75" s="212"/>
      <c r="IB75" s="212"/>
      <c r="IC75" s="212"/>
      <c r="ID75" s="212"/>
      <c r="IE75" s="215"/>
      <c r="IF75" s="212"/>
      <c r="IG75" s="212"/>
      <c r="IH75" s="212"/>
      <c r="II75" s="212"/>
      <c r="IJ75" s="212"/>
      <c r="IK75" s="216"/>
      <c r="IL75" s="211"/>
      <c r="IM75" s="212"/>
      <c r="IN75" s="212"/>
      <c r="IO75" s="212"/>
      <c r="IP75" s="212"/>
      <c r="IQ75" s="213"/>
      <c r="IR75" s="212"/>
      <c r="IS75" s="212"/>
      <c r="IT75" s="212"/>
      <c r="IU75" s="212"/>
      <c r="IV75" s="212"/>
      <c r="IW75" s="214"/>
      <c r="IX75" s="212"/>
      <c r="IY75" s="212"/>
      <c r="IZ75" s="212"/>
      <c r="JA75" s="212"/>
      <c r="JB75" s="212"/>
      <c r="JC75" s="215"/>
      <c r="JD75" s="212"/>
      <c r="JE75" s="212"/>
      <c r="JF75" s="212"/>
      <c r="JG75" s="212"/>
      <c r="JH75" s="212"/>
      <c r="JI75" s="214"/>
      <c r="JJ75" s="212"/>
      <c r="JK75" s="212"/>
      <c r="JL75" s="212"/>
      <c r="JM75" s="212"/>
      <c r="JN75" s="212"/>
      <c r="JO75" s="215"/>
      <c r="JP75" s="212"/>
      <c r="JQ75" s="212"/>
      <c r="JR75" s="212"/>
      <c r="JS75" s="212"/>
      <c r="JT75" s="212"/>
      <c r="JU75" s="214"/>
      <c r="JV75" s="212"/>
      <c r="JW75" s="212"/>
      <c r="JX75" s="212"/>
      <c r="JY75" s="212"/>
      <c r="JZ75" s="212"/>
      <c r="KA75" s="215"/>
      <c r="KB75" s="212"/>
      <c r="KC75" s="212"/>
      <c r="KD75" s="212"/>
      <c r="KE75" s="212"/>
      <c r="KF75" s="212"/>
      <c r="KG75" s="214"/>
      <c r="KH75" s="212"/>
      <c r="KI75" s="212"/>
      <c r="KJ75" s="212"/>
      <c r="KK75" s="212"/>
      <c r="KL75" s="212"/>
      <c r="KM75" s="215"/>
      <c r="KN75" s="212"/>
      <c r="KO75" s="212"/>
      <c r="KP75" s="212"/>
      <c r="KQ75" s="212"/>
      <c r="KR75" s="212"/>
      <c r="KS75" s="216"/>
      <c r="KT75" s="211"/>
      <c r="KU75" s="212"/>
      <c r="KV75" s="212"/>
      <c r="KW75" s="212"/>
      <c r="KX75" s="212"/>
      <c r="KY75" s="213"/>
      <c r="KZ75" s="212"/>
      <c r="LA75" s="212"/>
      <c r="LB75" s="212"/>
      <c r="LC75" s="212"/>
      <c r="LD75" s="212"/>
      <c r="LE75" s="214"/>
      <c r="LF75" s="212"/>
      <c r="LG75" s="212"/>
      <c r="LH75" s="212"/>
      <c r="LI75" s="212"/>
      <c r="LJ75" s="212"/>
      <c r="LK75" s="215"/>
      <c r="LL75" s="212"/>
      <c r="LM75" s="212"/>
      <c r="LN75" s="212"/>
      <c r="LO75" s="212"/>
      <c r="LP75" s="212"/>
      <c r="LQ75" s="214"/>
      <c r="LR75" s="212"/>
      <c r="LS75" s="212"/>
      <c r="LT75" s="212"/>
      <c r="LU75" s="212"/>
      <c r="LV75" s="212"/>
      <c r="LW75" s="215"/>
      <c r="LX75" s="212"/>
      <c r="LY75" s="212"/>
      <c r="LZ75" s="212"/>
      <c r="MA75" s="212"/>
      <c r="MB75" s="212"/>
      <c r="MC75" s="214"/>
      <c r="MD75" s="212"/>
      <c r="ME75" s="212"/>
      <c r="MF75" s="212"/>
      <c r="MG75" s="212"/>
      <c r="MH75" s="212"/>
      <c r="MI75" s="215"/>
      <c r="MJ75" s="212"/>
      <c r="MK75" s="212"/>
      <c r="ML75" s="212"/>
      <c r="MM75" s="212"/>
      <c r="MN75" s="212"/>
      <c r="MO75" s="214"/>
      <c r="MP75" s="212"/>
      <c r="MQ75" s="212"/>
      <c r="MR75" s="212"/>
      <c r="MS75" s="212"/>
      <c r="MT75" s="212"/>
      <c r="MU75" s="215"/>
      <c r="MV75" s="212"/>
      <c r="MW75" s="212"/>
      <c r="MX75" s="212"/>
      <c r="MY75" s="212"/>
      <c r="MZ75" s="212"/>
      <c r="NA75" s="216"/>
      <c r="NB75" s="211"/>
      <c r="NC75" s="212"/>
      <c r="ND75" s="212"/>
      <c r="NE75" s="212"/>
      <c r="NF75" s="212"/>
      <c r="NG75" s="213"/>
      <c r="NH75" s="212"/>
      <c r="NI75" s="212"/>
      <c r="NJ75" s="212"/>
      <c r="NK75" s="212"/>
      <c r="NL75" s="212"/>
      <c r="NM75" s="214"/>
      <c r="NN75" s="212"/>
      <c r="NO75" s="212"/>
      <c r="NP75" s="212"/>
      <c r="NQ75" s="212"/>
      <c r="NR75" s="212"/>
      <c r="NS75" s="215"/>
      <c r="NT75" s="212"/>
      <c r="NU75" s="212"/>
      <c r="NV75" s="212"/>
      <c r="NW75" s="212"/>
      <c r="NX75" s="212"/>
      <c r="NY75" s="214"/>
      <c r="NZ75" s="212"/>
      <c r="OA75" s="212"/>
      <c r="OB75" s="212"/>
      <c r="OC75" s="212"/>
      <c r="OD75" s="212"/>
      <c r="OE75" s="215"/>
      <c r="OF75" s="212"/>
      <c r="OG75" s="212"/>
      <c r="OH75" s="212"/>
      <c r="OI75" s="212"/>
      <c r="OJ75" s="212"/>
      <c r="OK75" s="214"/>
      <c r="OL75" s="212"/>
      <c r="OM75" s="212"/>
      <c r="ON75" s="212"/>
      <c r="OO75" s="212"/>
      <c r="OP75" s="212"/>
      <c r="OQ75" s="215"/>
      <c r="OR75" s="212"/>
      <c r="OS75" s="212"/>
      <c r="OT75" s="212"/>
      <c r="OU75" s="212"/>
      <c r="OV75" s="212"/>
      <c r="OW75" s="214"/>
      <c r="OX75" s="212"/>
      <c r="OY75" s="212"/>
      <c r="OZ75" s="212"/>
      <c r="PA75" s="212"/>
      <c r="PB75" s="212"/>
      <c r="PC75" s="215"/>
      <c r="PD75" s="212"/>
      <c r="PE75" s="212"/>
      <c r="PF75" s="212"/>
      <c r="PG75" s="212"/>
      <c r="PH75" s="212"/>
      <c r="PI75" s="216"/>
      <c r="PJ75" s="211"/>
      <c r="PK75" s="212"/>
      <c r="PL75" s="212"/>
      <c r="PM75" s="212"/>
      <c r="PN75" s="212"/>
      <c r="PO75" s="213"/>
      <c r="PP75" s="212"/>
      <c r="PQ75" s="212"/>
      <c r="PR75" s="212"/>
      <c r="PS75" s="212"/>
      <c r="PT75" s="212"/>
      <c r="PU75" s="214"/>
      <c r="PV75" s="212"/>
      <c r="PW75" s="212"/>
      <c r="PX75" s="212"/>
      <c r="PY75" s="212"/>
      <c r="PZ75" s="212"/>
      <c r="QA75" s="215"/>
      <c r="QB75" s="212"/>
      <c r="QC75" s="212"/>
      <c r="QD75" s="212"/>
      <c r="QE75" s="212"/>
      <c r="QF75" s="212"/>
      <c r="QG75" s="214"/>
      <c r="QH75" s="212"/>
      <c r="QI75" s="212"/>
      <c r="QJ75" s="212"/>
      <c r="QK75" s="212"/>
      <c r="QL75" s="212"/>
      <c r="QM75" s="215"/>
      <c r="QN75" s="212"/>
      <c r="QO75" s="212"/>
      <c r="QP75" s="212"/>
      <c r="QQ75" s="212"/>
      <c r="QR75" s="212"/>
      <c r="QS75" s="214"/>
      <c r="QT75" s="212"/>
      <c r="QU75" s="212"/>
      <c r="QV75" s="212"/>
      <c r="QW75" s="212"/>
      <c r="QX75" s="212"/>
      <c r="QY75" s="215"/>
      <c r="QZ75" s="212"/>
      <c r="RA75" s="212"/>
      <c r="RB75" s="212"/>
      <c r="RC75" s="212"/>
      <c r="RD75" s="212"/>
      <c r="RE75" s="214"/>
      <c r="RF75" s="212"/>
      <c r="RG75" s="212"/>
      <c r="RH75" s="212"/>
      <c r="RI75" s="212"/>
      <c r="RJ75" s="212"/>
      <c r="RK75" s="215"/>
      <c r="RL75" s="212"/>
      <c r="RM75" s="212"/>
      <c r="RN75" s="212"/>
      <c r="RO75" s="212"/>
      <c r="RP75" s="212"/>
      <c r="RQ75" s="216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73"/>
    </row>
    <row r="76" spans="1:1326" ht="20.100000000000001" customHeight="1" x14ac:dyDescent="0.3">
      <c r="A76" s="78" t="s">
        <v>27</v>
      </c>
      <c r="B76" s="51"/>
      <c r="C76" s="169"/>
      <c r="D76" s="121" t="str">
        <f t="shared" si="0"/>
        <v>90h</v>
      </c>
      <c r="E76" s="30">
        <v>1080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73"/>
    </row>
    <row r="77" spans="1:1326" ht="20.100000000000001" customHeight="1" x14ac:dyDescent="0.25">
      <c r="A77" s="78" t="s">
        <v>26</v>
      </c>
      <c r="B77" s="51"/>
      <c r="C77" s="163" t="s">
        <v>62</v>
      </c>
      <c r="D77" s="119" t="str">
        <f t="shared" si="0"/>
        <v>90h 10 min</v>
      </c>
      <c r="E77" s="34">
        <v>1082</v>
      </c>
      <c r="F77" s="217"/>
      <c r="G77" s="218"/>
      <c r="H77" s="218"/>
      <c r="I77" s="218"/>
      <c r="J77" s="218"/>
      <c r="K77" s="219"/>
      <c r="L77" s="218"/>
      <c r="M77" s="218"/>
      <c r="N77" s="218"/>
      <c r="O77" s="218"/>
      <c r="P77" s="218"/>
      <c r="Q77" s="220"/>
      <c r="R77" s="218"/>
      <c r="S77" s="218"/>
      <c r="T77" s="218"/>
      <c r="U77" s="218"/>
      <c r="V77" s="218"/>
      <c r="W77" s="221"/>
      <c r="X77" s="218"/>
      <c r="Y77" s="218"/>
      <c r="Z77" s="218"/>
      <c r="AA77" s="218"/>
      <c r="AB77" s="224"/>
      <c r="AC77" s="229"/>
      <c r="AD77" s="218"/>
      <c r="AE77" s="218"/>
      <c r="AF77" s="218"/>
      <c r="AG77" s="218"/>
      <c r="AH77" s="218"/>
      <c r="AI77" s="221"/>
      <c r="AJ77" s="218"/>
      <c r="AK77" s="218"/>
      <c r="AL77" s="218"/>
      <c r="AM77" s="218"/>
      <c r="AN77" s="218"/>
      <c r="AO77" s="220"/>
      <c r="AP77" s="218"/>
      <c r="AQ77" s="218"/>
      <c r="AR77" s="218"/>
      <c r="AS77" s="218"/>
      <c r="AT77" s="218"/>
      <c r="AU77" s="221"/>
      <c r="AV77" s="218"/>
      <c r="AW77" s="218"/>
      <c r="AX77" s="218"/>
      <c r="AY77" s="218"/>
      <c r="AZ77" s="218"/>
      <c r="BA77" s="220"/>
      <c r="BB77" s="218"/>
      <c r="BC77" s="218"/>
      <c r="BD77" s="218"/>
      <c r="BE77" s="218"/>
      <c r="BF77" s="218"/>
      <c r="BG77" s="221"/>
      <c r="BH77" s="218"/>
      <c r="BI77" s="218"/>
      <c r="BJ77" s="218"/>
      <c r="BK77" s="218"/>
      <c r="BL77" s="218"/>
      <c r="BM77" s="222"/>
      <c r="BN77" s="217"/>
      <c r="BO77" s="218"/>
      <c r="BP77" s="218"/>
      <c r="BQ77" s="218"/>
      <c r="BR77" s="218"/>
      <c r="BS77" s="219"/>
      <c r="BT77" s="218"/>
      <c r="BU77" s="218"/>
      <c r="BV77" s="218"/>
      <c r="BW77" s="218"/>
      <c r="BX77" s="218"/>
      <c r="BY77" s="220"/>
      <c r="BZ77" s="218"/>
      <c r="CA77" s="218"/>
      <c r="CB77" s="218"/>
      <c r="CC77" s="218"/>
      <c r="CD77" s="218"/>
      <c r="CE77" s="221"/>
      <c r="CF77" s="218"/>
      <c r="CG77" s="218"/>
      <c r="CH77" s="218"/>
      <c r="CI77" s="218"/>
      <c r="CJ77" s="218"/>
      <c r="CK77" s="220"/>
      <c r="CL77" s="218"/>
      <c r="CM77" s="218"/>
      <c r="CN77" s="218"/>
      <c r="CO77" s="218"/>
      <c r="CP77" s="218"/>
      <c r="CQ77" s="221"/>
      <c r="CR77" s="218"/>
      <c r="CS77" s="218"/>
      <c r="CT77" s="218"/>
      <c r="CU77" s="218"/>
      <c r="CV77" s="218"/>
      <c r="CW77" s="220"/>
      <c r="CX77" s="218"/>
      <c r="CY77" s="218"/>
      <c r="CZ77" s="218"/>
      <c r="DA77" s="218"/>
      <c r="DB77" s="218"/>
      <c r="DC77" s="221"/>
      <c r="DD77" s="218"/>
      <c r="DE77" s="218"/>
      <c r="DF77" s="218"/>
      <c r="DG77" s="218"/>
      <c r="DH77" s="218"/>
      <c r="DI77" s="220"/>
      <c r="DJ77" s="218"/>
      <c r="DK77" s="218"/>
      <c r="DL77" s="218"/>
      <c r="DM77" s="218"/>
      <c r="DN77" s="218"/>
      <c r="DO77" s="221"/>
      <c r="DP77" s="218"/>
      <c r="DQ77" s="218"/>
      <c r="DR77" s="218"/>
      <c r="DS77" s="218"/>
      <c r="DT77" s="218"/>
      <c r="DU77" s="222"/>
      <c r="DV77" s="217"/>
      <c r="DW77" s="218"/>
      <c r="DX77" s="218"/>
      <c r="DY77" s="218"/>
      <c r="DZ77" s="218"/>
      <c r="EA77" s="219"/>
      <c r="EB77" s="218"/>
      <c r="EC77" s="218"/>
      <c r="ED77" s="218"/>
      <c r="EE77" s="218"/>
      <c r="EF77" s="218"/>
      <c r="EG77" s="220"/>
      <c r="EH77" s="218"/>
      <c r="EI77" s="218"/>
      <c r="EJ77" s="218"/>
      <c r="EK77" s="218"/>
      <c r="EL77" s="218"/>
      <c r="EM77" s="221"/>
      <c r="EN77" s="218"/>
      <c r="EO77" s="218"/>
      <c r="EP77" s="218"/>
      <c r="EQ77" s="218"/>
      <c r="ER77" s="218"/>
      <c r="ES77" s="220"/>
      <c r="ET77" s="218"/>
      <c r="EU77" s="218"/>
      <c r="EV77" s="218"/>
      <c r="EW77" s="218"/>
      <c r="EX77" s="218"/>
      <c r="EY77" s="221"/>
      <c r="EZ77" s="218"/>
      <c r="FA77" s="218"/>
      <c r="FB77" s="218"/>
      <c r="FC77" s="218"/>
      <c r="FD77" s="218"/>
      <c r="FE77" s="220"/>
      <c r="FF77" s="218"/>
      <c r="FG77" s="218"/>
      <c r="FH77" s="218"/>
      <c r="FI77" s="218"/>
      <c r="FJ77" s="218"/>
      <c r="FK77" s="221"/>
      <c r="FL77" s="218"/>
      <c r="FM77" s="218"/>
      <c r="FN77" s="218"/>
      <c r="FO77" s="218"/>
      <c r="FP77" s="218"/>
      <c r="FQ77" s="220"/>
      <c r="FR77" s="218"/>
      <c r="FS77" s="218"/>
      <c r="FT77" s="218"/>
      <c r="FU77" s="218"/>
      <c r="FV77" s="218"/>
      <c r="FW77" s="221"/>
      <c r="FX77" s="218"/>
      <c r="FY77" s="218"/>
      <c r="FZ77" s="218"/>
      <c r="GA77" s="218"/>
      <c r="GB77" s="218"/>
      <c r="GC77" s="222"/>
      <c r="GD77" s="217"/>
      <c r="GE77" s="218"/>
      <c r="GF77" s="218"/>
      <c r="GG77" s="218"/>
      <c r="GH77" s="218"/>
      <c r="GI77" s="219"/>
      <c r="GJ77" s="218"/>
      <c r="GK77" s="218"/>
      <c r="GL77" s="218"/>
      <c r="GM77" s="218"/>
      <c r="GN77" s="218"/>
      <c r="GO77" s="220"/>
      <c r="GP77" s="218"/>
      <c r="GQ77" s="218"/>
      <c r="GR77" s="218"/>
      <c r="GS77" s="218"/>
      <c r="GT77" s="218"/>
      <c r="GU77" s="221"/>
      <c r="GV77" s="218"/>
      <c r="GW77" s="218"/>
      <c r="GX77" s="218"/>
      <c r="GY77" s="218"/>
      <c r="GZ77" s="218"/>
      <c r="HA77" s="220"/>
      <c r="HB77" s="218"/>
      <c r="HC77" s="218"/>
      <c r="HD77" s="218"/>
      <c r="HE77" s="218"/>
      <c r="HF77" s="218"/>
      <c r="HG77" s="221"/>
      <c r="HH77" s="218"/>
      <c r="HI77" s="218"/>
      <c r="HJ77" s="218"/>
      <c r="HK77" s="218"/>
      <c r="HL77" s="218"/>
      <c r="HM77" s="220"/>
      <c r="HN77" s="218"/>
      <c r="HO77" s="218"/>
      <c r="HP77" s="218"/>
      <c r="HQ77" s="218"/>
      <c r="HR77" s="218"/>
      <c r="HS77" s="221"/>
      <c r="HT77" s="218"/>
      <c r="HU77" s="218"/>
      <c r="HV77" s="218"/>
      <c r="HW77" s="218"/>
      <c r="HX77" s="218"/>
      <c r="HY77" s="220"/>
      <c r="HZ77" s="218"/>
      <c r="IA77" s="218"/>
      <c r="IB77" s="218"/>
      <c r="IC77" s="218"/>
      <c r="ID77" s="218"/>
      <c r="IE77" s="221"/>
      <c r="IF77" s="218"/>
      <c r="IG77" s="218"/>
      <c r="IH77" s="218"/>
      <c r="II77" s="218"/>
      <c r="IJ77" s="218"/>
      <c r="IK77" s="222"/>
      <c r="IL77" s="217"/>
      <c r="IM77" s="218"/>
      <c r="IN77" s="218"/>
      <c r="IO77" s="218"/>
      <c r="IP77" s="218"/>
      <c r="IQ77" s="219"/>
      <c r="IR77" s="218"/>
      <c r="IS77" s="218"/>
      <c r="IT77" s="218"/>
      <c r="IU77" s="218"/>
      <c r="IV77" s="218"/>
      <c r="IW77" s="220"/>
      <c r="IX77" s="218"/>
      <c r="IY77" s="218"/>
      <c r="IZ77" s="218"/>
      <c r="JA77" s="218"/>
      <c r="JB77" s="218"/>
      <c r="JC77" s="221"/>
      <c r="JD77" s="218"/>
      <c r="JE77" s="218"/>
      <c r="JF77" s="218"/>
      <c r="JG77" s="218"/>
      <c r="JH77" s="218"/>
      <c r="JI77" s="220"/>
      <c r="JJ77" s="218"/>
      <c r="JK77" s="218"/>
      <c r="JL77" s="218"/>
      <c r="JM77" s="218"/>
      <c r="JN77" s="218"/>
      <c r="JO77" s="221"/>
      <c r="JP77" s="218"/>
      <c r="JQ77" s="218"/>
      <c r="JR77" s="218"/>
      <c r="JS77" s="218"/>
      <c r="JT77" s="218"/>
      <c r="JU77" s="220"/>
      <c r="JV77" s="218"/>
      <c r="JW77" s="218"/>
      <c r="JX77" s="218"/>
      <c r="JY77" s="218"/>
      <c r="JZ77" s="218"/>
      <c r="KA77" s="221"/>
      <c r="KB77" s="218"/>
      <c r="KC77" s="218"/>
      <c r="KD77" s="218"/>
      <c r="KE77" s="218"/>
      <c r="KF77" s="218"/>
      <c r="KG77" s="220"/>
      <c r="KH77" s="218"/>
      <c r="KI77" s="218"/>
      <c r="KJ77" s="218"/>
      <c r="KK77" s="218"/>
      <c r="KL77" s="218"/>
      <c r="KM77" s="221"/>
      <c r="KN77" s="218"/>
      <c r="KO77" s="218"/>
      <c r="KP77" s="218"/>
      <c r="KQ77" s="218"/>
      <c r="KR77" s="218"/>
      <c r="KS77" s="222"/>
      <c r="KT77" s="217"/>
      <c r="KU77" s="218"/>
      <c r="KV77" s="218"/>
      <c r="KW77" s="218"/>
      <c r="KX77" s="218"/>
      <c r="KY77" s="219"/>
      <c r="KZ77" s="218"/>
      <c r="LA77" s="218"/>
      <c r="LB77" s="218"/>
      <c r="LC77" s="218"/>
      <c r="LD77" s="218"/>
      <c r="LE77" s="220"/>
      <c r="LF77" s="218"/>
      <c r="LG77" s="218"/>
      <c r="LH77" s="218"/>
      <c r="LI77" s="218"/>
      <c r="LJ77" s="218"/>
      <c r="LK77" s="221"/>
      <c r="LL77" s="218"/>
      <c r="LM77" s="218"/>
      <c r="LN77" s="218"/>
      <c r="LO77" s="218"/>
      <c r="LP77" s="218"/>
      <c r="LQ77" s="220"/>
      <c r="LR77" s="218"/>
      <c r="LS77" s="218"/>
      <c r="LT77" s="218"/>
      <c r="LU77" s="218"/>
      <c r="LV77" s="218"/>
      <c r="LW77" s="221"/>
      <c r="LX77" s="218"/>
      <c r="LY77" s="218"/>
      <c r="LZ77" s="218"/>
      <c r="MA77" s="218"/>
      <c r="MB77" s="218"/>
      <c r="MC77" s="220"/>
      <c r="MD77" s="218"/>
      <c r="ME77" s="218"/>
      <c r="MF77" s="218"/>
      <c r="MG77" s="218"/>
      <c r="MH77" s="218"/>
      <c r="MI77" s="221"/>
      <c r="MJ77" s="218"/>
      <c r="MK77" s="218"/>
      <c r="ML77" s="218"/>
      <c r="MM77" s="218"/>
      <c r="MN77" s="218"/>
      <c r="MO77" s="220"/>
      <c r="MP77" s="218"/>
      <c r="MQ77" s="218"/>
      <c r="MR77" s="218"/>
      <c r="MS77" s="218"/>
      <c r="MT77" s="218"/>
      <c r="MU77" s="221"/>
      <c r="MV77" s="218"/>
      <c r="MW77" s="218"/>
      <c r="MX77" s="218"/>
      <c r="MY77" s="218"/>
      <c r="MZ77" s="218"/>
      <c r="NA77" s="222"/>
      <c r="NB77" s="217"/>
      <c r="NC77" s="218"/>
      <c r="ND77" s="218"/>
      <c r="NE77" s="218"/>
      <c r="NF77" s="218"/>
      <c r="NG77" s="219"/>
      <c r="NH77" s="218"/>
      <c r="NI77" s="218"/>
      <c r="NJ77" s="218"/>
      <c r="NK77" s="218"/>
      <c r="NL77" s="218"/>
      <c r="NM77" s="220"/>
      <c r="NN77" s="218"/>
      <c r="NO77" s="218"/>
      <c r="NP77" s="218"/>
      <c r="NQ77" s="218"/>
      <c r="NR77" s="218"/>
      <c r="NS77" s="221"/>
      <c r="NT77" s="218"/>
      <c r="NU77" s="218"/>
      <c r="NV77" s="218"/>
      <c r="NW77" s="218"/>
      <c r="NX77" s="218"/>
      <c r="NY77" s="220"/>
      <c r="NZ77" s="218"/>
      <c r="OA77" s="218"/>
      <c r="OB77" s="218"/>
      <c r="OC77" s="218"/>
      <c r="OD77" s="218"/>
      <c r="OE77" s="221"/>
      <c r="OF77" s="218"/>
      <c r="OG77" s="218"/>
      <c r="OH77" s="218"/>
      <c r="OI77" s="218"/>
      <c r="OJ77" s="218"/>
      <c r="OK77" s="220"/>
      <c r="OL77" s="218"/>
      <c r="OM77" s="218"/>
      <c r="ON77" s="218"/>
      <c r="OO77" s="218"/>
      <c r="OP77" s="218"/>
      <c r="OQ77" s="221"/>
      <c r="OR77" s="218"/>
      <c r="OS77" s="218"/>
      <c r="OT77" s="218"/>
      <c r="OU77" s="218"/>
      <c r="OV77" s="218"/>
      <c r="OW77" s="220"/>
      <c r="OX77" s="218"/>
      <c r="OY77" s="218"/>
      <c r="OZ77" s="218"/>
      <c r="PA77" s="218"/>
      <c r="PB77" s="218"/>
      <c r="PC77" s="221"/>
      <c r="PD77" s="218"/>
      <c r="PE77" s="218"/>
      <c r="PF77" s="218"/>
      <c r="PG77" s="218"/>
      <c r="PH77" s="218"/>
      <c r="PI77" s="222"/>
      <c r="PJ77" s="217"/>
      <c r="PK77" s="218"/>
      <c r="PL77" s="218"/>
      <c r="PM77" s="218"/>
      <c r="PN77" s="218"/>
      <c r="PO77" s="219"/>
      <c r="PP77" s="218"/>
      <c r="PQ77" s="218"/>
      <c r="PR77" s="218"/>
      <c r="PS77" s="218"/>
      <c r="PT77" s="218"/>
      <c r="PU77" s="220"/>
      <c r="PV77" s="218"/>
      <c r="PW77" s="218"/>
      <c r="PX77" s="218"/>
      <c r="PY77" s="218"/>
      <c r="PZ77" s="218"/>
      <c r="QA77" s="221"/>
      <c r="QB77" s="218"/>
      <c r="QC77" s="218"/>
      <c r="QD77" s="218"/>
      <c r="QE77" s="218"/>
      <c r="QF77" s="218"/>
      <c r="QG77" s="220"/>
      <c r="QH77" s="218"/>
      <c r="QI77" s="218"/>
      <c r="QJ77" s="218"/>
      <c r="QK77" s="218"/>
      <c r="QL77" s="218"/>
      <c r="QM77" s="221"/>
      <c r="QN77" s="218"/>
      <c r="QO77" s="218"/>
      <c r="QP77" s="218"/>
      <c r="QQ77" s="218"/>
      <c r="QR77" s="218"/>
      <c r="QS77" s="220"/>
      <c r="QT77" s="218"/>
      <c r="QU77" s="218"/>
      <c r="QV77" s="218"/>
      <c r="QW77" s="218"/>
      <c r="QX77" s="218"/>
      <c r="QY77" s="221"/>
      <c r="QZ77" s="218"/>
      <c r="RA77" s="218"/>
      <c r="RB77" s="218"/>
      <c r="RC77" s="218"/>
      <c r="RD77" s="218"/>
      <c r="RE77" s="220"/>
      <c r="RF77" s="218"/>
      <c r="RG77" s="218"/>
      <c r="RH77" s="218"/>
      <c r="RI77" s="218"/>
      <c r="RJ77" s="218"/>
      <c r="RK77" s="221"/>
      <c r="RL77" s="218"/>
      <c r="RM77" s="218"/>
      <c r="RN77" s="218"/>
      <c r="RO77" s="218"/>
      <c r="RP77" s="218"/>
      <c r="RQ77" s="222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73"/>
    </row>
    <row r="78" spans="1:1326" ht="20.100000000000001" customHeight="1" x14ac:dyDescent="0.25">
      <c r="A78" s="78" t="s">
        <v>27</v>
      </c>
      <c r="B78" s="51"/>
      <c r="C78" s="164"/>
      <c r="D78" s="120" t="str">
        <f t="shared" si="0"/>
        <v>90h</v>
      </c>
      <c r="E78" s="80">
        <v>1080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73"/>
    </row>
    <row r="79" spans="1:1326" ht="20.100000000000001" customHeight="1" x14ac:dyDescent="0.25">
      <c r="A79" s="78" t="s">
        <v>26</v>
      </c>
      <c r="B79" s="51"/>
      <c r="C79" s="163" t="s">
        <v>42</v>
      </c>
      <c r="D79" s="119" t="str">
        <f t="shared" si="0"/>
        <v>90h</v>
      </c>
      <c r="E79" s="34">
        <v>1080</v>
      </c>
      <c r="F79" s="211"/>
      <c r="G79" s="212"/>
      <c r="H79" s="212"/>
      <c r="I79" s="212"/>
      <c r="J79" s="212"/>
      <c r="K79" s="213"/>
      <c r="L79" s="212"/>
      <c r="M79" s="212"/>
      <c r="N79" s="212"/>
      <c r="O79" s="212"/>
      <c r="P79" s="212"/>
      <c r="Q79" s="214"/>
      <c r="R79" s="212"/>
      <c r="S79" s="212"/>
      <c r="T79" s="212"/>
      <c r="U79" s="212"/>
      <c r="V79" s="212"/>
      <c r="W79" s="215"/>
      <c r="X79" s="212"/>
      <c r="Y79" s="212"/>
      <c r="Z79" s="212"/>
      <c r="AA79" s="212"/>
      <c r="AB79" s="212"/>
      <c r="AC79" s="214"/>
      <c r="AD79" s="212"/>
      <c r="AE79" s="212"/>
      <c r="AF79" s="212"/>
      <c r="AG79" s="212"/>
      <c r="AH79" s="212"/>
      <c r="AI79" s="215"/>
      <c r="AJ79" s="212"/>
      <c r="AK79" s="212"/>
      <c r="AL79" s="212"/>
      <c r="AM79" s="212"/>
      <c r="AN79" s="212"/>
      <c r="AO79" s="214"/>
      <c r="AP79" s="212"/>
      <c r="AQ79" s="212"/>
      <c r="AR79" s="212"/>
      <c r="AS79" s="212"/>
      <c r="AT79" s="212"/>
      <c r="AU79" s="215"/>
      <c r="AV79" s="212"/>
      <c r="AW79" s="212"/>
      <c r="AX79" s="212"/>
      <c r="AY79" s="212"/>
      <c r="AZ79" s="212"/>
      <c r="BA79" s="214"/>
      <c r="BB79" s="212"/>
      <c r="BC79" s="212"/>
      <c r="BD79" s="212"/>
      <c r="BE79" s="212"/>
      <c r="BF79" s="212"/>
      <c r="BG79" s="215"/>
      <c r="BH79" s="212"/>
      <c r="BI79" s="212"/>
      <c r="BJ79" s="212"/>
      <c r="BK79" s="212"/>
      <c r="BL79" s="212"/>
      <c r="BM79" s="216"/>
      <c r="BN79" s="211"/>
      <c r="BO79" s="212"/>
      <c r="BP79" s="212"/>
      <c r="BQ79" s="212"/>
      <c r="BR79" s="212"/>
      <c r="BS79" s="213"/>
      <c r="BT79" s="212"/>
      <c r="BU79" s="212"/>
      <c r="BV79" s="212"/>
      <c r="BW79" s="212"/>
      <c r="BX79" s="212"/>
      <c r="BY79" s="214"/>
      <c r="BZ79" s="212"/>
      <c r="CA79" s="212"/>
      <c r="CB79" s="212"/>
      <c r="CC79" s="212"/>
      <c r="CD79" s="212"/>
      <c r="CE79" s="215"/>
      <c r="CF79" s="212"/>
      <c r="CG79" s="212"/>
      <c r="CH79" s="212"/>
      <c r="CI79" s="212"/>
      <c r="CJ79" s="212"/>
      <c r="CK79" s="214"/>
      <c r="CL79" s="212"/>
      <c r="CM79" s="212"/>
      <c r="CN79" s="212"/>
      <c r="CO79" s="212"/>
      <c r="CP79" s="212"/>
      <c r="CQ79" s="215"/>
      <c r="CR79" s="212"/>
      <c r="CS79" s="212"/>
      <c r="CT79" s="212"/>
      <c r="CU79" s="212"/>
      <c r="CV79" s="212"/>
      <c r="CW79" s="214"/>
      <c r="CX79" s="212"/>
      <c r="CY79" s="212"/>
      <c r="CZ79" s="212"/>
      <c r="DA79" s="212"/>
      <c r="DB79" s="212"/>
      <c r="DC79" s="215"/>
      <c r="DD79" s="212"/>
      <c r="DE79" s="212"/>
      <c r="DF79" s="212"/>
      <c r="DG79" s="212"/>
      <c r="DH79" s="212"/>
      <c r="DI79" s="214"/>
      <c r="DJ79" s="212"/>
      <c r="DK79" s="212"/>
      <c r="DL79" s="212"/>
      <c r="DM79" s="212"/>
      <c r="DN79" s="212"/>
      <c r="DO79" s="215"/>
      <c r="DP79" s="212"/>
      <c r="DQ79" s="212"/>
      <c r="DR79" s="212"/>
      <c r="DS79" s="212"/>
      <c r="DT79" s="212"/>
      <c r="DU79" s="216"/>
      <c r="DV79" s="211"/>
      <c r="DW79" s="212"/>
      <c r="DX79" s="212"/>
      <c r="DY79" s="212"/>
      <c r="DZ79" s="212"/>
      <c r="EA79" s="213"/>
      <c r="EB79" s="212"/>
      <c r="EC79" s="212"/>
      <c r="ED79" s="212"/>
      <c r="EE79" s="212"/>
      <c r="EF79" s="212"/>
      <c r="EG79" s="214"/>
      <c r="EH79" s="212"/>
      <c r="EI79" s="212"/>
      <c r="EJ79" s="212"/>
      <c r="EK79" s="212"/>
      <c r="EL79" s="212"/>
      <c r="EM79" s="215"/>
      <c r="EN79" s="212"/>
      <c r="EO79" s="212"/>
      <c r="EP79" s="212"/>
      <c r="EQ79" s="212"/>
      <c r="ER79" s="212"/>
      <c r="ES79" s="214"/>
      <c r="ET79" s="212"/>
      <c r="EU79" s="212"/>
      <c r="EV79" s="212"/>
      <c r="EW79" s="212"/>
      <c r="EX79" s="212"/>
      <c r="EY79" s="215"/>
      <c r="EZ79" s="212"/>
      <c r="FA79" s="212"/>
      <c r="FB79" s="212"/>
      <c r="FC79" s="212"/>
      <c r="FD79" s="212"/>
      <c r="FE79" s="214"/>
      <c r="FF79" s="212"/>
      <c r="FG79" s="212"/>
      <c r="FH79" s="212"/>
      <c r="FI79" s="212"/>
      <c r="FJ79" s="212"/>
      <c r="FK79" s="215"/>
      <c r="FL79" s="212"/>
      <c r="FM79" s="212"/>
      <c r="FN79" s="212"/>
      <c r="FO79" s="212"/>
      <c r="FP79" s="212"/>
      <c r="FQ79" s="214"/>
      <c r="FR79" s="212"/>
      <c r="FS79" s="212"/>
      <c r="FT79" s="212"/>
      <c r="FU79" s="212"/>
      <c r="FV79" s="212"/>
      <c r="FW79" s="215"/>
      <c r="FX79" s="212"/>
      <c r="FY79" s="212"/>
      <c r="FZ79" s="212"/>
      <c r="GA79" s="212"/>
      <c r="GB79" s="212"/>
      <c r="GC79" s="216"/>
      <c r="GD79" s="211"/>
      <c r="GE79" s="212"/>
      <c r="GF79" s="212"/>
      <c r="GG79" s="212"/>
      <c r="GH79" s="212"/>
      <c r="GI79" s="213"/>
      <c r="GJ79" s="212"/>
      <c r="GK79" s="212"/>
      <c r="GL79" s="212"/>
      <c r="GM79" s="212"/>
      <c r="GN79" s="212"/>
      <c r="GO79" s="214"/>
      <c r="GP79" s="212"/>
      <c r="GQ79" s="212"/>
      <c r="GR79" s="212"/>
      <c r="GS79" s="212"/>
      <c r="GT79" s="212"/>
      <c r="GU79" s="215"/>
      <c r="GV79" s="212"/>
      <c r="GW79" s="212"/>
      <c r="GX79" s="212"/>
      <c r="GY79" s="212"/>
      <c r="GZ79" s="212"/>
      <c r="HA79" s="214"/>
      <c r="HB79" s="212"/>
      <c r="HC79" s="212"/>
      <c r="HD79" s="212"/>
      <c r="HE79" s="212"/>
      <c r="HF79" s="212"/>
      <c r="HG79" s="215"/>
      <c r="HH79" s="212"/>
      <c r="HI79" s="212"/>
      <c r="HJ79" s="212"/>
      <c r="HK79" s="212"/>
      <c r="HL79" s="212"/>
      <c r="HM79" s="214"/>
      <c r="HN79" s="212"/>
      <c r="HO79" s="212"/>
      <c r="HP79" s="212"/>
      <c r="HQ79" s="212"/>
      <c r="HR79" s="212"/>
      <c r="HS79" s="215"/>
      <c r="HT79" s="212"/>
      <c r="HU79" s="212"/>
      <c r="HV79" s="212"/>
      <c r="HW79" s="212"/>
      <c r="HX79" s="212"/>
      <c r="HY79" s="214"/>
      <c r="HZ79" s="212"/>
      <c r="IA79" s="212"/>
      <c r="IB79" s="212"/>
      <c r="IC79" s="212"/>
      <c r="ID79" s="212"/>
      <c r="IE79" s="215"/>
      <c r="IF79" s="212"/>
      <c r="IG79" s="212"/>
      <c r="IH79" s="212"/>
      <c r="II79" s="212"/>
      <c r="IJ79" s="212"/>
      <c r="IK79" s="216"/>
      <c r="IL79" s="211"/>
      <c r="IM79" s="212"/>
      <c r="IN79" s="212"/>
      <c r="IO79" s="212"/>
      <c r="IP79" s="212"/>
      <c r="IQ79" s="213"/>
      <c r="IR79" s="212"/>
      <c r="IS79" s="212"/>
      <c r="IT79" s="212"/>
      <c r="IU79" s="212"/>
      <c r="IV79" s="212"/>
      <c r="IW79" s="214"/>
      <c r="IX79" s="212"/>
      <c r="IY79" s="212"/>
      <c r="IZ79" s="212"/>
      <c r="JA79" s="212"/>
      <c r="JB79" s="212"/>
      <c r="JC79" s="215"/>
      <c r="JD79" s="212"/>
      <c r="JE79" s="212"/>
      <c r="JF79" s="212"/>
      <c r="JG79" s="212"/>
      <c r="JH79" s="212"/>
      <c r="JI79" s="214"/>
      <c r="JJ79" s="212"/>
      <c r="JK79" s="212"/>
      <c r="JL79" s="212"/>
      <c r="JM79" s="212"/>
      <c r="JN79" s="212"/>
      <c r="JO79" s="215"/>
      <c r="JP79" s="212"/>
      <c r="JQ79" s="212"/>
      <c r="JR79" s="212"/>
      <c r="JS79" s="212"/>
      <c r="JT79" s="212"/>
      <c r="JU79" s="214"/>
      <c r="JV79" s="212"/>
      <c r="JW79" s="212"/>
      <c r="JX79" s="212"/>
      <c r="JY79" s="212"/>
      <c r="JZ79" s="212"/>
      <c r="KA79" s="215"/>
      <c r="KB79" s="212"/>
      <c r="KC79" s="212"/>
      <c r="KD79" s="212"/>
      <c r="KE79" s="212"/>
      <c r="KF79" s="212"/>
      <c r="KG79" s="214"/>
      <c r="KH79" s="212"/>
      <c r="KI79" s="212"/>
      <c r="KJ79" s="212"/>
      <c r="KK79" s="212"/>
      <c r="KL79" s="212"/>
      <c r="KM79" s="215"/>
      <c r="KN79" s="212"/>
      <c r="KO79" s="212"/>
      <c r="KP79" s="212"/>
      <c r="KQ79" s="212"/>
      <c r="KR79" s="212"/>
      <c r="KS79" s="216"/>
      <c r="KT79" s="211"/>
      <c r="KU79" s="212"/>
      <c r="KV79" s="212"/>
      <c r="KW79" s="212"/>
      <c r="KX79" s="212"/>
      <c r="KY79" s="213"/>
      <c r="KZ79" s="212"/>
      <c r="LA79" s="212"/>
      <c r="LB79" s="212"/>
      <c r="LC79" s="212"/>
      <c r="LD79" s="212"/>
      <c r="LE79" s="214"/>
      <c r="LF79" s="212"/>
      <c r="LG79" s="212"/>
      <c r="LH79" s="212"/>
      <c r="LI79" s="212"/>
      <c r="LJ79" s="212"/>
      <c r="LK79" s="215"/>
      <c r="LL79" s="212"/>
      <c r="LM79" s="212"/>
      <c r="LN79" s="212"/>
      <c r="LO79" s="212"/>
      <c r="LP79" s="212"/>
      <c r="LQ79" s="214"/>
      <c r="LR79" s="212"/>
      <c r="LS79" s="212"/>
      <c r="LT79" s="212"/>
      <c r="LU79" s="212"/>
      <c r="LV79" s="212"/>
      <c r="LW79" s="215"/>
      <c r="LX79" s="212"/>
      <c r="LY79" s="212"/>
      <c r="LZ79" s="212"/>
      <c r="MA79" s="212"/>
      <c r="MB79" s="212"/>
      <c r="MC79" s="214"/>
      <c r="MD79" s="212"/>
      <c r="ME79" s="212"/>
      <c r="MF79" s="212"/>
      <c r="MG79" s="212"/>
      <c r="MH79" s="212"/>
      <c r="MI79" s="215"/>
      <c r="MJ79" s="212"/>
      <c r="MK79" s="212"/>
      <c r="ML79" s="212"/>
      <c r="MM79" s="212"/>
      <c r="MN79" s="212"/>
      <c r="MO79" s="214"/>
      <c r="MP79" s="212"/>
      <c r="MQ79" s="212"/>
      <c r="MR79" s="212"/>
      <c r="MS79" s="212"/>
      <c r="MT79" s="212"/>
      <c r="MU79" s="215"/>
      <c r="MV79" s="212"/>
      <c r="MW79" s="212"/>
      <c r="MX79" s="212"/>
      <c r="MY79" s="212"/>
      <c r="MZ79" s="212"/>
      <c r="NA79" s="216"/>
      <c r="NB79" s="211"/>
      <c r="NC79" s="212"/>
      <c r="ND79" s="212"/>
      <c r="NE79" s="212"/>
      <c r="NF79" s="212"/>
      <c r="NG79" s="213"/>
      <c r="NH79" s="212"/>
      <c r="NI79" s="212"/>
      <c r="NJ79" s="212"/>
      <c r="NK79" s="212"/>
      <c r="NL79" s="212"/>
      <c r="NM79" s="214"/>
      <c r="NN79" s="212"/>
      <c r="NO79" s="212"/>
      <c r="NP79" s="212"/>
      <c r="NQ79" s="212"/>
      <c r="NR79" s="212"/>
      <c r="NS79" s="215"/>
      <c r="NT79" s="212"/>
      <c r="NU79" s="212"/>
      <c r="NV79" s="212"/>
      <c r="NW79" s="212"/>
      <c r="NX79" s="212"/>
      <c r="NY79" s="214"/>
      <c r="NZ79" s="212"/>
      <c r="OA79" s="212"/>
      <c r="OB79" s="212"/>
      <c r="OC79" s="212"/>
      <c r="OD79" s="212"/>
      <c r="OE79" s="215"/>
      <c r="OF79" s="212"/>
      <c r="OG79" s="212"/>
      <c r="OH79" s="212"/>
      <c r="OI79" s="212"/>
      <c r="OJ79" s="212"/>
      <c r="OK79" s="214"/>
      <c r="OL79" s="212"/>
      <c r="OM79" s="212"/>
      <c r="ON79" s="212"/>
      <c r="OO79" s="212"/>
      <c r="OP79" s="212"/>
      <c r="OQ79" s="215"/>
      <c r="OR79" s="212"/>
      <c r="OS79" s="212"/>
      <c r="OT79" s="212"/>
      <c r="OU79" s="212"/>
      <c r="OV79" s="212"/>
      <c r="OW79" s="214"/>
      <c r="OX79" s="212"/>
      <c r="OY79" s="212"/>
      <c r="OZ79" s="212"/>
      <c r="PA79" s="212"/>
      <c r="PB79" s="212"/>
      <c r="PC79" s="215"/>
      <c r="PD79" s="212"/>
      <c r="PE79" s="212"/>
      <c r="PF79" s="212"/>
      <c r="PG79" s="212"/>
      <c r="PH79" s="212"/>
      <c r="PI79" s="216"/>
      <c r="PJ79" s="211"/>
      <c r="PK79" s="212"/>
      <c r="PL79" s="212"/>
      <c r="PM79" s="212"/>
      <c r="PN79" s="212"/>
      <c r="PO79" s="213"/>
      <c r="PP79" s="212"/>
      <c r="PQ79" s="212"/>
      <c r="PR79" s="212"/>
      <c r="PS79" s="212"/>
      <c r="PT79" s="212"/>
      <c r="PU79" s="214"/>
      <c r="PV79" s="212"/>
      <c r="PW79" s="212"/>
      <c r="PX79" s="212"/>
      <c r="PY79" s="212"/>
      <c r="PZ79" s="212"/>
      <c r="QA79" s="215"/>
      <c r="QB79" s="212"/>
      <c r="QC79" s="212"/>
      <c r="QD79" s="212"/>
      <c r="QE79" s="212"/>
      <c r="QF79" s="212"/>
      <c r="QG79" s="214"/>
      <c r="QH79" s="212"/>
      <c r="QI79" s="212"/>
      <c r="QJ79" s="212"/>
      <c r="QK79" s="212"/>
      <c r="QL79" s="212"/>
      <c r="QM79" s="215"/>
      <c r="QN79" s="212"/>
      <c r="QO79" s="212"/>
      <c r="QP79" s="212"/>
      <c r="QQ79" s="212"/>
      <c r="QR79" s="212"/>
      <c r="QS79" s="214"/>
      <c r="QT79" s="212"/>
      <c r="QU79" s="212"/>
      <c r="QV79" s="212"/>
      <c r="QW79" s="212"/>
      <c r="QX79" s="212"/>
      <c r="QY79" s="215"/>
      <c r="QZ79" s="212"/>
      <c r="RA79" s="212"/>
      <c r="RB79" s="212"/>
      <c r="RC79" s="212"/>
      <c r="RD79" s="212"/>
      <c r="RE79" s="214"/>
      <c r="RF79" s="212"/>
      <c r="RG79" s="212"/>
      <c r="RH79" s="212"/>
      <c r="RI79" s="212"/>
      <c r="RJ79" s="212"/>
      <c r="RK79" s="215"/>
      <c r="RL79" s="212"/>
      <c r="RM79" s="212"/>
      <c r="RN79" s="212"/>
      <c r="RO79" s="212"/>
      <c r="RP79" s="212"/>
      <c r="RQ79" s="216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73"/>
    </row>
    <row r="80" spans="1:1326" ht="20.100000000000001" customHeight="1" x14ac:dyDescent="0.3">
      <c r="A80" s="78" t="s">
        <v>27</v>
      </c>
      <c r="B80" s="51"/>
      <c r="C80" s="164"/>
      <c r="D80" s="121" t="str">
        <f t="shared" ref="D80:D94" si="1">setValueToTime(E80)</f>
        <v>90h</v>
      </c>
      <c r="E80" s="22">
        <v>1080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73"/>
    </row>
    <row r="81" spans="1:1326" ht="20.100000000000001" customHeight="1" x14ac:dyDescent="0.25">
      <c r="A81" s="78" t="s">
        <v>26</v>
      </c>
      <c r="B81" s="51"/>
      <c r="C81" s="163" t="s">
        <v>83</v>
      </c>
      <c r="D81" s="119" t="str">
        <f t="shared" si="1"/>
        <v>93h 30 min</v>
      </c>
      <c r="E81" s="26">
        <v>1122</v>
      </c>
      <c r="F81" s="217"/>
      <c r="G81" s="218"/>
      <c r="H81" s="218"/>
      <c r="I81" s="218"/>
      <c r="J81" s="218"/>
      <c r="K81" s="219"/>
      <c r="L81" s="218"/>
      <c r="M81" s="218"/>
      <c r="N81" s="218"/>
      <c r="O81" s="218"/>
      <c r="P81" s="218"/>
      <c r="Q81" s="220"/>
      <c r="R81" s="218"/>
      <c r="S81" s="218"/>
      <c r="T81" s="218"/>
      <c r="U81" s="218"/>
      <c r="V81" s="218"/>
      <c r="W81" s="221"/>
      <c r="X81" s="218"/>
      <c r="Y81" s="218"/>
      <c r="Z81" s="218"/>
      <c r="AA81" s="218"/>
      <c r="AB81" s="218"/>
      <c r="AC81" s="220"/>
      <c r="AD81" s="218"/>
      <c r="AE81" s="218"/>
      <c r="AF81" s="218"/>
      <c r="AG81" s="218"/>
      <c r="AH81" s="218"/>
      <c r="AI81" s="221"/>
      <c r="AJ81" s="218"/>
      <c r="AK81" s="218"/>
      <c r="AL81" s="218"/>
      <c r="AM81" s="218"/>
      <c r="AN81" s="218"/>
      <c r="AO81" s="220"/>
      <c r="AP81" s="218"/>
      <c r="AQ81" s="218"/>
      <c r="AR81" s="218"/>
      <c r="AS81" s="218"/>
      <c r="AT81" s="218"/>
      <c r="AU81" s="221"/>
      <c r="AV81" s="218"/>
      <c r="AW81" s="218"/>
      <c r="AX81" s="218"/>
      <c r="AY81" s="218"/>
      <c r="AZ81" s="218"/>
      <c r="BA81" s="220"/>
      <c r="BB81" s="218"/>
      <c r="BC81" s="218"/>
      <c r="BD81" s="218"/>
      <c r="BE81" s="218"/>
      <c r="BF81" s="218"/>
      <c r="BG81" s="221"/>
      <c r="BH81" s="218"/>
      <c r="BI81" s="218"/>
      <c r="BJ81" s="218"/>
      <c r="BK81" s="218"/>
      <c r="BL81" s="218"/>
      <c r="BM81" s="222"/>
      <c r="BN81" s="217"/>
      <c r="BO81" s="218"/>
      <c r="BP81" s="218"/>
      <c r="BQ81" s="218"/>
      <c r="BR81" s="218"/>
      <c r="BS81" s="219"/>
      <c r="BT81" s="218"/>
      <c r="BU81" s="218"/>
      <c r="BV81" s="218"/>
      <c r="BW81" s="218"/>
      <c r="BX81" s="218"/>
      <c r="BY81" s="220"/>
      <c r="BZ81" s="218"/>
      <c r="CA81" s="218"/>
      <c r="CB81" s="218"/>
      <c r="CC81" s="218"/>
      <c r="CD81" s="218"/>
      <c r="CE81" s="221"/>
      <c r="CF81" s="218"/>
      <c r="CG81" s="218"/>
      <c r="CH81" s="218"/>
      <c r="CI81" s="218"/>
      <c r="CJ81" s="218"/>
      <c r="CK81" s="220"/>
      <c r="CL81" s="218"/>
      <c r="CM81" s="218"/>
      <c r="CN81" s="218"/>
      <c r="CO81" s="218"/>
      <c r="CP81" s="218"/>
      <c r="CQ81" s="221"/>
      <c r="CR81" s="218"/>
      <c r="CS81" s="218"/>
      <c r="CT81" s="218"/>
      <c r="CU81" s="218"/>
      <c r="CV81" s="218"/>
      <c r="CW81" s="220"/>
      <c r="CX81" s="218"/>
      <c r="CY81" s="218"/>
      <c r="CZ81" s="218"/>
      <c r="DA81" s="218"/>
      <c r="DB81" s="218"/>
      <c r="DC81" s="221"/>
      <c r="DD81" s="218"/>
      <c r="DE81" s="218"/>
      <c r="DF81" s="218"/>
      <c r="DG81" s="218"/>
      <c r="DH81" s="218"/>
      <c r="DI81" s="220"/>
      <c r="DJ81" s="218"/>
      <c r="DK81" s="218"/>
      <c r="DL81" s="218"/>
      <c r="DM81" s="218"/>
      <c r="DN81" s="218"/>
      <c r="DO81" s="221"/>
      <c r="DP81" s="218"/>
      <c r="DQ81" s="218"/>
      <c r="DR81" s="218"/>
      <c r="DS81" s="218"/>
      <c r="DT81" s="218"/>
      <c r="DU81" s="222"/>
      <c r="DV81" s="217"/>
      <c r="DW81" s="218"/>
      <c r="DX81" s="218"/>
      <c r="DY81" s="218"/>
      <c r="DZ81" s="218"/>
      <c r="EA81" s="219"/>
      <c r="EB81" s="218"/>
      <c r="EC81" s="218"/>
      <c r="ED81" s="218"/>
      <c r="EE81" s="218"/>
      <c r="EF81" s="218"/>
      <c r="EG81" s="220"/>
      <c r="EH81" s="218"/>
      <c r="EI81" s="218"/>
      <c r="EJ81" s="218"/>
      <c r="EK81" s="218"/>
      <c r="EL81" s="218"/>
      <c r="EM81" s="221"/>
      <c r="EN81" s="218"/>
      <c r="EO81" s="218"/>
      <c r="EP81" s="218"/>
      <c r="EQ81" s="218"/>
      <c r="ER81" s="218"/>
      <c r="ES81" s="220"/>
      <c r="ET81" s="218"/>
      <c r="EU81" s="218"/>
      <c r="EV81" s="218"/>
      <c r="EW81" s="218"/>
      <c r="EX81" s="218"/>
      <c r="EY81" s="221"/>
      <c r="EZ81" s="218"/>
      <c r="FA81" s="218"/>
      <c r="FB81" s="218"/>
      <c r="FC81" s="218"/>
      <c r="FD81" s="218"/>
      <c r="FE81" s="220"/>
      <c r="FF81" s="224"/>
      <c r="FG81" s="224"/>
      <c r="FH81" s="224"/>
      <c r="FI81" s="224"/>
      <c r="FJ81" s="224"/>
      <c r="FK81" s="230"/>
      <c r="FL81" s="224"/>
      <c r="FM81" s="224"/>
      <c r="FN81" s="224"/>
      <c r="FO81" s="218"/>
      <c r="FP81" s="218"/>
      <c r="FQ81" s="220"/>
      <c r="FR81" s="218"/>
      <c r="FS81" s="218"/>
      <c r="FT81" s="218"/>
      <c r="FU81" s="218"/>
      <c r="FV81" s="218"/>
      <c r="FW81" s="221"/>
      <c r="FX81" s="218"/>
      <c r="FY81" s="218"/>
      <c r="FZ81" s="218"/>
      <c r="GA81" s="218"/>
      <c r="GB81" s="218"/>
      <c r="GC81" s="222"/>
      <c r="GD81" s="223"/>
      <c r="GE81" s="224"/>
      <c r="GF81" s="224"/>
      <c r="GG81" s="224"/>
      <c r="GH81" s="224"/>
      <c r="GI81" s="225"/>
      <c r="GJ81" s="224"/>
      <c r="GK81" s="224"/>
      <c r="GL81" s="224"/>
      <c r="GM81" s="224"/>
      <c r="GN81" s="224"/>
      <c r="GO81" s="229"/>
      <c r="GP81" s="224"/>
      <c r="GQ81" s="224"/>
      <c r="GR81" s="224"/>
      <c r="GS81" s="224"/>
      <c r="GT81" s="224"/>
      <c r="GU81" s="230"/>
      <c r="GV81" s="224"/>
      <c r="GW81" s="224"/>
      <c r="GX81" s="224"/>
      <c r="GY81" s="224"/>
      <c r="GZ81" s="224"/>
      <c r="HA81" s="229"/>
      <c r="HB81" s="224"/>
      <c r="HC81" s="224"/>
      <c r="HD81" s="224"/>
      <c r="HE81" s="224"/>
      <c r="HF81" s="224"/>
      <c r="HG81" s="230"/>
      <c r="HH81" s="224"/>
      <c r="HI81" s="224"/>
      <c r="HJ81" s="224"/>
      <c r="HK81" s="218"/>
      <c r="HL81" s="218"/>
      <c r="HM81" s="220"/>
      <c r="HN81" s="218"/>
      <c r="HO81" s="218"/>
      <c r="HP81" s="218"/>
      <c r="HQ81" s="218"/>
      <c r="HR81" s="218"/>
      <c r="HS81" s="221"/>
      <c r="HT81" s="218"/>
      <c r="HU81" s="218"/>
      <c r="HV81" s="218"/>
      <c r="HW81" s="218"/>
      <c r="HX81" s="218"/>
      <c r="HY81" s="220"/>
      <c r="HZ81" s="218"/>
      <c r="IA81" s="218"/>
      <c r="IB81" s="218"/>
      <c r="IC81" s="218"/>
      <c r="ID81" s="218"/>
      <c r="IE81" s="221"/>
      <c r="IF81" s="218"/>
      <c r="IG81" s="218"/>
      <c r="IH81" s="218"/>
      <c r="II81" s="218"/>
      <c r="IJ81" s="218"/>
      <c r="IK81" s="222"/>
      <c r="IL81" s="217"/>
      <c r="IM81" s="218"/>
      <c r="IN81" s="218"/>
      <c r="IO81" s="218"/>
      <c r="IP81" s="218"/>
      <c r="IQ81" s="219"/>
      <c r="IR81" s="218"/>
      <c r="IS81" s="218"/>
      <c r="IT81" s="218"/>
      <c r="IU81" s="218"/>
      <c r="IV81" s="218"/>
      <c r="IW81" s="220"/>
      <c r="IX81" s="218"/>
      <c r="IY81" s="218"/>
      <c r="IZ81" s="218"/>
      <c r="JA81" s="218"/>
      <c r="JB81" s="218"/>
      <c r="JC81" s="221"/>
      <c r="JD81" s="218"/>
      <c r="JE81" s="218"/>
      <c r="JF81" s="218"/>
      <c r="JG81" s="218"/>
      <c r="JH81" s="218"/>
      <c r="JI81" s="220"/>
      <c r="JJ81" s="218"/>
      <c r="JK81" s="218"/>
      <c r="JL81" s="218"/>
      <c r="JM81" s="218"/>
      <c r="JN81" s="218"/>
      <c r="JO81" s="221"/>
      <c r="JP81" s="218"/>
      <c r="JQ81" s="218"/>
      <c r="JR81" s="218"/>
      <c r="JS81" s="218"/>
      <c r="JT81" s="218"/>
      <c r="JU81" s="220"/>
      <c r="JV81" s="218"/>
      <c r="JW81" s="218"/>
      <c r="JX81" s="218"/>
      <c r="JY81" s="218"/>
      <c r="JZ81" s="218"/>
      <c r="KA81" s="221"/>
      <c r="KB81" s="218"/>
      <c r="KC81" s="218"/>
      <c r="KD81" s="218"/>
      <c r="KE81" s="218"/>
      <c r="KF81" s="218"/>
      <c r="KG81" s="220"/>
      <c r="KH81" s="218"/>
      <c r="KI81" s="218"/>
      <c r="KJ81" s="218"/>
      <c r="KK81" s="218"/>
      <c r="KL81" s="218"/>
      <c r="KM81" s="221"/>
      <c r="KN81" s="218"/>
      <c r="KO81" s="218"/>
      <c r="KP81" s="218"/>
      <c r="KQ81" s="218"/>
      <c r="KR81" s="218"/>
      <c r="KS81" s="222"/>
      <c r="KT81" s="217"/>
      <c r="KU81" s="218"/>
      <c r="KV81" s="218"/>
      <c r="KW81" s="218"/>
      <c r="KX81" s="218"/>
      <c r="KY81" s="219"/>
      <c r="KZ81" s="218"/>
      <c r="LA81" s="218"/>
      <c r="LB81" s="218"/>
      <c r="LC81" s="218"/>
      <c r="LD81" s="218"/>
      <c r="LE81" s="220"/>
      <c r="LF81" s="218"/>
      <c r="LG81" s="218"/>
      <c r="LH81" s="218"/>
      <c r="LI81" s="218"/>
      <c r="LJ81" s="218"/>
      <c r="LK81" s="221"/>
      <c r="LL81" s="218"/>
      <c r="LM81" s="218"/>
      <c r="LN81" s="218"/>
      <c r="LO81" s="218"/>
      <c r="LP81" s="218"/>
      <c r="LQ81" s="220"/>
      <c r="LR81" s="218"/>
      <c r="LS81" s="218"/>
      <c r="LT81" s="218"/>
      <c r="LU81" s="218"/>
      <c r="LV81" s="218"/>
      <c r="LW81" s="221"/>
      <c r="LX81" s="218"/>
      <c r="LY81" s="218"/>
      <c r="LZ81" s="218"/>
      <c r="MA81" s="218"/>
      <c r="MB81" s="218"/>
      <c r="MC81" s="220"/>
      <c r="MD81" s="218"/>
      <c r="ME81" s="218"/>
      <c r="MF81" s="218"/>
      <c r="MG81" s="218"/>
      <c r="MH81" s="218"/>
      <c r="MI81" s="221"/>
      <c r="MJ81" s="218"/>
      <c r="MK81" s="218"/>
      <c r="ML81" s="218"/>
      <c r="MM81" s="218"/>
      <c r="MN81" s="218"/>
      <c r="MO81" s="220"/>
      <c r="MP81" s="218"/>
      <c r="MQ81" s="218"/>
      <c r="MR81" s="218"/>
      <c r="MS81" s="218"/>
      <c r="MT81" s="218"/>
      <c r="MU81" s="221"/>
      <c r="MV81" s="218"/>
      <c r="MW81" s="218"/>
      <c r="MX81" s="218"/>
      <c r="MY81" s="218"/>
      <c r="MZ81" s="218"/>
      <c r="NA81" s="222"/>
      <c r="NB81" s="217"/>
      <c r="NC81" s="218"/>
      <c r="ND81" s="218"/>
      <c r="NE81" s="218"/>
      <c r="NF81" s="218"/>
      <c r="NG81" s="219"/>
      <c r="NH81" s="218"/>
      <c r="NI81" s="218"/>
      <c r="NJ81" s="218"/>
      <c r="NK81" s="218"/>
      <c r="NL81" s="218"/>
      <c r="NM81" s="220"/>
      <c r="NN81" s="218"/>
      <c r="NO81" s="218"/>
      <c r="NP81" s="218"/>
      <c r="NQ81" s="218"/>
      <c r="NR81" s="218"/>
      <c r="NS81" s="221"/>
      <c r="NT81" s="218"/>
      <c r="NU81" s="218"/>
      <c r="NV81" s="218"/>
      <c r="NW81" s="218"/>
      <c r="NX81" s="218"/>
      <c r="NY81" s="220"/>
      <c r="NZ81" s="218"/>
      <c r="OA81" s="218"/>
      <c r="OB81" s="218"/>
      <c r="OC81" s="218"/>
      <c r="OD81" s="218"/>
      <c r="OE81" s="221"/>
      <c r="OF81" s="218"/>
      <c r="OG81" s="218"/>
      <c r="OH81" s="218"/>
      <c r="OI81" s="218"/>
      <c r="OJ81" s="218"/>
      <c r="OK81" s="220"/>
      <c r="OL81" s="218"/>
      <c r="OM81" s="218"/>
      <c r="ON81" s="218"/>
      <c r="OO81" s="218"/>
      <c r="OP81" s="218"/>
      <c r="OQ81" s="221"/>
      <c r="OR81" s="218"/>
      <c r="OS81" s="218"/>
      <c r="OT81" s="218"/>
      <c r="OU81" s="218"/>
      <c r="OV81" s="218"/>
      <c r="OW81" s="220"/>
      <c r="OX81" s="218"/>
      <c r="OY81" s="218"/>
      <c r="OZ81" s="218"/>
      <c r="PA81" s="218"/>
      <c r="PB81" s="218"/>
      <c r="PC81" s="221"/>
      <c r="PD81" s="218"/>
      <c r="PE81" s="218"/>
      <c r="PF81" s="218"/>
      <c r="PG81" s="218"/>
      <c r="PH81" s="218"/>
      <c r="PI81" s="222"/>
      <c r="PJ81" s="217"/>
      <c r="PK81" s="218"/>
      <c r="PL81" s="218"/>
      <c r="PM81" s="218"/>
      <c r="PN81" s="218"/>
      <c r="PO81" s="219"/>
      <c r="PP81" s="218"/>
      <c r="PQ81" s="218"/>
      <c r="PR81" s="218"/>
      <c r="PS81" s="218"/>
      <c r="PT81" s="218"/>
      <c r="PU81" s="220"/>
      <c r="PV81" s="218"/>
      <c r="PW81" s="218"/>
      <c r="PX81" s="218"/>
      <c r="PY81" s="218"/>
      <c r="PZ81" s="218"/>
      <c r="QA81" s="221"/>
      <c r="QB81" s="218"/>
      <c r="QC81" s="218"/>
      <c r="QD81" s="218"/>
      <c r="QE81" s="218"/>
      <c r="QF81" s="218"/>
      <c r="QG81" s="220"/>
      <c r="QH81" s="218"/>
      <c r="QI81" s="218"/>
      <c r="QJ81" s="218"/>
      <c r="QK81" s="218"/>
      <c r="QL81" s="218"/>
      <c r="QM81" s="221"/>
      <c r="QN81" s="218"/>
      <c r="QO81" s="218"/>
      <c r="QP81" s="218"/>
      <c r="QQ81" s="218"/>
      <c r="QR81" s="218"/>
      <c r="QS81" s="220"/>
      <c r="QT81" s="218"/>
      <c r="QU81" s="218"/>
      <c r="QV81" s="218"/>
      <c r="QW81" s="218"/>
      <c r="QX81" s="218"/>
      <c r="QY81" s="221"/>
      <c r="QZ81" s="218"/>
      <c r="RA81" s="218"/>
      <c r="RB81" s="218"/>
      <c r="RC81" s="218"/>
      <c r="RD81" s="218"/>
      <c r="RE81" s="220"/>
      <c r="RF81" s="218"/>
      <c r="RG81" s="218"/>
      <c r="RH81" s="218"/>
      <c r="RI81" s="218"/>
      <c r="RJ81" s="218"/>
      <c r="RK81" s="221"/>
      <c r="RL81" s="218"/>
      <c r="RM81" s="218"/>
      <c r="RN81" s="218"/>
      <c r="RO81" s="218"/>
      <c r="RP81" s="218"/>
      <c r="RQ81" s="222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73"/>
    </row>
    <row r="82" spans="1:1326" ht="20.100000000000001" customHeight="1" x14ac:dyDescent="0.3">
      <c r="A82" s="78" t="s">
        <v>27</v>
      </c>
      <c r="B82" s="51"/>
      <c r="C82" s="169"/>
      <c r="D82" s="121" t="str">
        <f t="shared" si="1"/>
        <v>90h</v>
      </c>
      <c r="E82" s="30">
        <v>1080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73"/>
    </row>
    <row r="83" spans="1:1326" ht="20.100000000000001" customHeight="1" x14ac:dyDescent="0.25">
      <c r="A83" s="78" t="s">
        <v>26</v>
      </c>
      <c r="B83" s="51"/>
      <c r="C83" s="163" t="s">
        <v>74</v>
      </c>
      <c r="D83" s="119" t="str">
        <f t="shared" si="1"/>
        <v>90h</v>
      </c>
      <c r="E83" s="34">
        <v>1080</v>
      </c>
      <c r="F83" s="211"/>
      <c r="G83" s="212"/>
      <c r="H83" s="212"/>
      <c r="I83" s="212"/>
      <c r="J83" s="212"/>
      <c r="K83" s="213"/>
      <c r="L83" s="212"/>
      <c r="M83" s="212"/>
      <c r="N83" s="212"/>
      <c r="O83" s="212"/>
      <c r="P83" s="212"/>
      <c r="Q83" s="214"/>
      <c r="R83" s="212"/>
      <c r="S83" s="212"/>
      <c r="T83" s="212"/>
      <c r="U83" s="212"/>
      <c r="V83" s="212"/>
      <c r="W83" s="215"/>
      <c r="X83" s="212"/>
      <c r="Y83" s="212"/>
      <c r="Z83" s="212"/>
      <c r="AA83" s="212"/>
      <c r="AB83" s="212"/>
      <c r="AC83" s="214"/>
      <c r="AD83" s="212"/>
      <c r="AE83" s="212"/>
      <c r="AF83" s="212"/>
      <c r="AG83" s="212"/>
      <c r="AH83" s="212"/>
      <c r="AI83" s="215"/>
      <c r="AJ83" s="212"/>
      <c r="AK83" s="212"/>
      <c r="AL83" s="212"/>
      <c r="AM83" s="212"/>
      <c r="AN83" s="212"/>
      <c r="AO83" s="214"/>
      <c r="AP83" s="212"/>
      <c r="AQ83" s="212"/>
      <c r="AR83" s="212"/>
      <c r="AS83" s="212"/>
      <c r="AT83" s="212"/>
      <c r="AU83" s="215"/>
      <c r="AV83" s="212"/>
      <c r="AW83" s="212"/>
      <c r="AX83" s="212"/>
      <c r="AY83" s="212"/>
      <c r="AZ83" s="212"/>
      <c r="BA83" s="214"/>
      <c r="BB83" s="212"/>
      <c r="BC83" s="212"/>
      <c r="BD83" s="212"/>
      <c r="BE83" s="212"/>
      <c r="BF83" s="212"/>
      <c r="BG83" s="215"/>
      <c r="BH83" s="212"/>
      <c r="BI83" s="212"/>
      <c r="BJ83" s="212"/>
      <c r="BK83" s="212"/>
      <c r="BL83" s="212"/>
      <c r="BM83" s="216"/>
      <c r="BN83" s="211"/>
      <c r="BO83" s="212"/>
      <c r="BP83" s="212"/>
      <c r="BQ83" s="212"/>
      <c r="BR83" s="212"/>
      <c r="BS83" s="213"/>
      <c r="BT83" s="212"/>
      <c r="BU83" s="212"/>
      <c r="BV83" s="212"/>
      <c r="BW83" s="212"/>
      <c r="BX83" s="212"/>
      <c r="BY83" s="214"/>
      <c r="BZ83" s="212"/>
      <c r="CA83" s="212"/>
      <c r="CB83" s="212"/>
      <c r="CC83" s="212"/>
      <c r="CD83" s="212"/>
      <c r="CE83" s="215"/>
      <c r="CF83" s="212"/>
      <c r="CG83" s="212"/>
      <c r="CH83" s="212"/>
      <c r="CI83" s="212"/>
      <c r="CJ83" s="212"/>
      <c r="CK83" s="214"/>
      <c r="CL83" s="212"/>
      <c r="CM83" s="212"/>
      <c r="CN83" s="212"/>
      <c r="CO83" s="212"/>
      <c r="CP83" s="212"/>
      <c r="CQ83" s="215"/>
      <c r="CR83" s="212"/>
      <c r="CS83" s="212"/>
      <c r="CT83" s="212"/>
      <c r="CU83" s="212"/>
      <c r="CV83" s="212"/>
      <c r="CW83" s="214"/>
      <c r="CX83" s="212"/>
      <c r="CY83" s="212"/>
      <c r="CZ83" s="212"/>
      <c r="DA83" s="212"/>
      <c r="DB83" s="212"/>
      <c r="DC83" s="215"/>
      <c r="DD83" s="212"/>
      <c r="DE83" s="212"/>
      <c r="DF83" s="212"/>
      <c r="DG83" s="212"/>
      <c r="DH83" s="212"/>
      <c r="DI83" s="214"/>
      <c r="DJ83" s="212"/>
      <c r="DK83" s="212"/>
      <c r="DL83" s="212"/>
      <c r="DM83" s="212"/>
      <c r="DN83" s="212"/>
      <c r="DO83" s="215"/>
      <c r="DP83" s="212"/>
      <c r="DQ83" s="212"/>
      <c r="DR83" s="212"/>
      <c r="DS83" s="212"/>
      <c r="DT83" s="212"/>
      <c r="DU83" s="216"/>
      <c r="DV83" s="211"/>
      <c r="DW83" s="212"/>
      <c r="DX83" s="212"/>
      <c r="DY83" s="212"/>
      <c r="DZ83" s="212"/>
      <c r="EA83" s="213"/>
      <c r="EB83" s="212"/>
      <c r="EC83" s="212"/>
      <c r="ED83" s="212"/>
      <c r="EE83" s="212"/>
      <c r="EF83" s="212"/>
      <c r="EG83" s="214"/>
      <c r="EH83" s="212"/>
      <c r="EI83" s="212"/>
      <c r="EJ83" s="212"/>
      <c r="EK83" s="212"/>
      <c r="EL83" s="212"/>
      <c r="EM83" s="215"/>
      <c r="EN83" s="212"/>
      <c r="EO83" s="212"/>
      <c r="EP83" s="212"/>
      <c r="EQ83" s="212"/>
      <c r="ER83" s="212"/>
      <c r="ES83" s="214"/>
      <c r="ET83" s="212"/>
      <c r="EU83" s="212"/>
      <c r="EV83" s="212"/>
      <c r="EW83" s="212"/>
      <c r="EX83" s="212"/>
      <c r="EY83" s="215"/>
      <c r="EZ83" s="212"/>
      <c r="FA83" s="212"/>
      <c r="FB83" s="212"/>
      <c r="FC83" s="212"/>
      <c r="FD83" s="212"/>
      <c r="FE83" s="214"/>
      <c r="FF83" s="212"/>
      <c r="FG83" s="212"/>
      <c r="FH83" s="212"/>
      <c r="FI83" s="212"/>
      <c r="FJ83" s="212"/>
      <c r="FK83" s="215"/>
      <c r="FL83" s="212"/>
      <c r="FM83" s="212"/>
      <c r="FN83" s="212"/>
      <c r="FO83" s="212"/>
      <c r="FP83" s="212"/>
      <c r="FQ83" s="214"/>
      <c r="FR83" s="212"/>
      <c r="FS83" s="212"/>
      <c r="FT83" s="212"/>
      <c r="FU83" s="212"/>
      <c r="FV83" s="212"/>
      <c r="FW83" s="215"/>
      <c r="FX83" s="212"/>
      <c r="FY83" s="212"/>
      <c r="FZ83" s="212"/>
      <c r="GA83" s="212"/>
      <c r="GB83" s="212"/>
      <c r="GC83" s="216"/>
      <c r="GD83" s="211"/>
      <c r="GE83" s="212"/>
      <c r="GF83" s="212"/>
      <c r="GG83" s="212"/>
      <c r="GH83" s="212"/>
      <c r="GI83" s="213"/>
      <c r="GJ83" s="212"/>
      <c r="GK83" s="212"/>
      <c r="GL83" s="212"/>
      <c r="GM83" s="212"/>
      <c r="GN83" s="212"/>
      <c r="GO83" s="214"/>
      <c r="GP83" s="212"/>
      <c r="GQ83" s="212"/>
      <c r="GR83" s="212"/>
      <c r="GS83" s="212"/>
      <c r="GT83" s="212"/>
      <c r="GU83" s="215"/>
      <c r="GV83" s="212"/>
      <c r="GW83" s="212"/>
      <c r="GX83" s="212"/>
      <c r="GY83" s="212"/>
      <c r="GZ83" s="212"/>
      <c r="HA83" s="214"/>
      <c r="HB83" s="212"/>
      <c r="HC83" s="212"/>
      <c r="HD83" s="212"/>
      <c r="HE83" s="212"/>
      <c r="HF83" s="212"/>
      <c r="HG83" s="215"/>
      <c r="HH83" s="212"/>
      <c r="HI83" s="212"/>
      <c r="HJ83" s="212"/>
      <c r="HK83" s="212"/>
      <c r="HL83" s="212"/>
      <c r="HM83" s="214"/>
      <c r="HN83" s="212"/>
      <c r="HO83" s="212"/>
      <c r="HP83" s="212"/>
      <c r="HQ83" s="212"/>
      <c r="HR83" s="212"/>
      <c r="HS83" s="215"/>
      <c r="HT83" s="212"/>
      <c r="HU83" s="212"/>
      <c r="HV83" s="212"/>
      <c r="HW83" s="212"/>
      <c r="HX83" s="212"/>
      <c r="HY83" s="214"/>
      <c r="HZ83" s="212"/>
      <c r="IA83" s="212"/>
      <c r="IB83" s="212"/>
      <c r="IC83" s="212"/>
      <c r="ID83" s="212"/>
      <c r="IE83" s="215"/>
      <c r="IF83" s="212"/>
      <c r="IG83" s="212"/>
      <c r="IH83" s="212"/>
      <c r="II83" s="212"/>
      <c r="IJ83" s="212"/>
      <c r="IK83" s="216"/>
      <c r="IL83" s="211"/>
      <c r="IM83" s="212"/>
      <c r="IN83" s="212"/>
      <c r="IO83" s="212"/>
      <c r="IP83" s="212"/>
      <c r="IQ83" s="213"/>
      <c r="IR83" s="212"/>
      <c r="IS83" s="212"/>
      <c r="IT83" s="212"/>
      <c r="IU83" s="212"/>
      <c r="IV83" s="212"/>
      <c r="IW83" s="214"/>
      <c r="IX83" s="212"/>
      <c r="IY83" s="212"/>
      <c r="IZ83" s="212"/>
      <c r="JA83" s="212"/>
      <c r="JB83" s="212"/>
      <c r="JC83" s="215"/>
      <c r="JD83" s="212"/>
      <c r="JE83" s="212"/>
      <c r="JF83" s="212"/>
      <c r="JG83" s="212"/>
      <c r="JH83" s="212"/>
      <c r="JI83" s="214"/>
      <c r="JJ83" s="212"/>
      <c r="JK83" s="212"/>
      <c r="JL83" s="212"/>
      <c r="JM83" s="212"/>
      <c r="JN83" s="212"/>
      <c r="JO83" s="215"/>
      <c r="JP83" s="212"/>
      <c r="JQ83" s="212"/>
      <c r="JR83" s="212"/>
      <c r="JS83" s="212"/>
      <c r="JT83" s="212"/>
      <c r="JU83" s="214"/>
      <c r="JV83" s="212"/>
      <c r="JW83" s="212"/>
      <c r="JX83" s="212"/>
      <c r="JY83" s="212"/>
      <c r="JZ83" s="212"/>
      <c r="KA83" s="215"/>
      <c r="KB83" s="212"/>
      <c r="KC83" s="212"/>
      <c r="KD83" s="212"/>
      <c r="KE83" s="212"/>
      <c r="KF83" s="212"/>
      <c r="KG83" s="214"/>
      <c r="KH83" s="212"/>
      <c r="KI83" s="212"/>
      <c r="KJ83" s="212"/>
      <c r="KK83" s="212"/>
      <c r="KL83" s="212"/>
      <c r="KM83" s="215"/>
      <c r="KN83" s="212"/>
      <c r="KO83" s="212"/>
      <c r="KP83" s="212"/>
      <c r="KQ83" s="212"/>
      <c r="KR83" s="212"/>
      <c r="KS83" s="216"/>
      <c r="KT83" s="211"/>
      <c r="KU83" s="212"/>
      <c r="KV83" s="212"/>
      <c r="KW83" s="212"/>
      <c r="KX83" s="212"/>
      <c r="KY83" s="213"/>
      <c r="KZ83" s="212"/>
      <c r="LA83" s="212"/>
      <c r="LB83" s="212"/>
      <c r="LC83" s="212"/>
      <c r="LD83" s="212"/>
      <c r="LE83" s="214"/>
      <c r="LF83" s="212"/>
      <c r="LG83" s="212"/>
      <c r="LH83" s="212"/>
      <c r="LI83" s="212"/>
      <c r="LJ83" s="212"/>
      <c r="LK83" s="215"/>
      <c r="LL83" s="212"/>
      <c r="LM83" s="212"/>
      <c r="LN83" s="212"/>
      <c r="LO83" s="212"/>
      <c r="LP83" s="212"/>
      <c r="LQ83" s="214"/>
      <c r="LR83" s="212"/>
      <c r="LS83" s="212"/>
      <c r="LT83" s="212"/>
      <c r="LU83" s="212"/>
      <c r="LV83" s="212"/>
      <c r="LW83" s="215"/>
      <c r="LX83" s="212"/>
      <c r="LY83" s="212"/>
      <c r="LZ83" s="212"/>
      <c r="MA83" s="212"/>
      <c r="MB83" s="212"/>
      <c r="MC83" s="214"/>
      <c r="MD83" s="212"/>
      <c r="ME83" s="212"/>
      <c r="MF83" s="212"/>
      <c r="MG83" s="212"/>
      <c r="MH83" s="212"/>
      <c r="MI83" s="215"/>
      <c r="MJ83" s="212"/>
      <c r="MK83" s="212"/>
      <c r="ML83" s="212"/>
      <c r="MM83" s="212"/>
      <c r="MN83" s="212"/>
      <c r="MO83" s="214"/>
      <c r="MP83" s="212"/>
      <c r="MQ83" s="212"/>
      <c r="MR83" s="212"/>
      <c r="MS83" s="212"/>
      <c r="MT83" s="212"/>
      <c r="MU83" s="215"/>
      <c r="MV83" s="212"/>
      <c r="MW83" s="212"/>
      <c r="MX83" s="212"/>
      <c r="MY83" s="212"/>
      <c r="MZ83" s="212"/>
      <c r="NA83" s="216"/>
      <c r="NB83" s="211"/>
      <c r="NC83" s="212"/>
      <c r="ND83" s="212"/>
      <c r="NE83" s="212"/>
      <c r="NF83" s="212"/>
      <c r="NG83" s="213"/>
      <c r="NH83" s="212"/>
      <c r="NI83" s="212"/>
      <c r="NJ83" s="212"/>
      <c r="NK83" s="212"/>
      <c r="NL83" s="212"/>
      <c r="NM83" s="214"/>
      <c r="NN83" s="212"/>
      <c r="NO83" s="212"/>
      <c r="NP83" s="212"/>
      <c r="NQ83" s="212"/>
      <c r="NR83" s="212"/>
      <c r="NS83" s="215"/>
      <c r="NT83" s="212"/>
      <c r="NU83" s="212"/>
      <c r="NV83" s="212"/>
      <c r="NW83" s="212"/>
      <c r="NX83" s="212"/>
      <c r="NY83" s="214"/>
      <c r="NZ83" s="212"/>
      <c r="OA83" s="212"/>
      <c r="OB83" s="212"/>
      <c r="OC83" s="212"/>
      <c r="OD83" s="212"/>
      <c r="OE83" s="215"/>
      <c r="OF83" s="212"/>
      <c r="OG83" s="212"/>
      <c r="OH83" s="212"/>
      <c r="OI83" s="212"/>
      <c r="OJ83" s="212"/>
      <c r="OK83" s="214"/>
      <c r="OL83" s="212"/>
      <c r="OM83" s="212"/>
      <c r="ON83" s="212"/>
      <c r="OO83" s="212"/>
      <c r="OP83" s="212"/>
      <c r="OQ83" s="215"/>
      <c r="OR83" s="212"/>
      <c r="OS83" s="212"/>
      <c r="OT83" s="212"/>
      <c r="OU83" s="212"/>
      <c r="OV83" s="212"/>
      <c r="OW83" s="214"/>
      <c r="OX83" s="212"/>
      <c r="OY83" s="212"/>
      <c r="OZ83" s="212"/>
      <c r="PA83" s="212"/>
      <c r="PB83" s="212"/>
      <c r="PC83" s="215"/>
      <c r="PD83" s="212"/>
      <c r="PE83" s="212"/>
      <c r="PF83" s="212"/>
      <c r="PG83" s="212"/>
      <c r="PH83" s="212"/>
      <c r="PI83" s="216"/>
      <c r="PJ83" s="211"/>
      <c r="PK83" s="212"/>
      <c r="PL83" s="212"/>
      <c r="PM83" s="212"/>
      <c r="PN83" s="212"/>
      <c r="PO83" s="213"/>
      <c r="PP83" s="212"/>
      <c r="PQ83" s="212"/>
      <c r="PR83" s="212"/>
      <c r="PS83" s="212"/>
      <c r="PT83" s="212"/>
      <c r="PU83" s="214"/>
      <c r="PV83" s="212"/>
      <c r="PW83" s="212"/>
      <c r="PX83" s="212"/>
      <c r="PY83" s="212"/>
      <c r="PZ83" s="212"/>
      <c r="QA83" s="215"/>
      <c r="QB83" s="212"/>
      <c r="QC83" s="212"/>
      <c r="QD83" s="212"/>
      <c r="QE83" s="212"/>
      <c r="QF83" s="212"/>
      <c r="QG83" s="214"/>
      <c r="QH83" s="212"/>
      <c r="QI83" s="212"/>
      <c r="QJ83" s="212"/>
      <c r="QK83" s="212"/>
      <c r="QL83" s="212"/>
      <c r="QM83" s="215"/>
      <c r="QN83" s="212"/>
      <c r="QO83" s="212"/>
      <c r="QP83" s="212"/>
      <c r="QQ83" s="212"/>
      <c r="QR83" s="212"/>
      <c r="QS83" s="214"/>
      <c r="QT83" s="212"/>
      <c r="QU83" s="212"/>
      <c r="QV83" s="212"/>
      <c r="QW83" s="212"/>
      <c r="QX83" s="212"/>
      <c r="QY83" s="215"/>
      <c r="QZ83" s="212"/>
      <c r="RA83" s="212"/>
      <c r="RB83" s="212"/>
      <c r="RC83" s="212"/>
      <c r="RD83" s="212"/>
      <c r="RE83" s="214"/>
      <c r="RF83" s="212"/>
      <c r="RG83" s="212"/>
      <c r="RH83" s="212"/>
      <c r="RI83" s="212"/>
      <c r="RJ83" s="212"/>
      <c r="RK83" s="215"/>
      <c r="RL83" s="212"/>
      <c r="RM83" s="212"/>
      <c r="RN83" s="212"/>
      <c r="RO83" s="212"/>
      <c r="RP83" s="212"/>
      <c r="RQ83" s="216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73"/>
    </row>
    <row r="84" spans="1:1326" ht="20.100000000000001" customHeight="1" x14ac:dyDescent="0.25">
      <c r="A84" s="78" t="s">
        <v>27</v>
      </c>
      <c r="B84" s="51"/>
      <c r="C84" s="164"/>
      <c r="D84" s="120" t="str">
        <f t="shared" si="1"/>
        <v>90h</v>
      </c>
      <c r="E84" s="22">
        <v>1080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73"/>
    </row>
    <row r="85" spans="1:1326" ht="20.100000000000001" customHeight="1" x14ac:dyDescent="0.25">
      <c r="A85" s="78" t="s">
        <v>26</v>
      </c>
      <c r="B85" s="51"/>
      <c r="C85" s="163" t="s">
        <v>69</v>
      </c>
      <c r="D85" s="119" t="str">
        <f t="shared" si="1"/>
        <v>90h</v>
      </c>
      <c r="E85" s="26">
        <v>1080</v>
      </c>
      <c r="F85" s="217"/>
      <c r="G85" s="218"/>
      <c r="H85" s="218"/>
      <c r="I85" s="218"/>
      <c r="J85" s="218"/>
      <c r="K85" s="219"/>
      <c r="L85" s="218"/>
      <c r="M85" s="218"/>
      <c r="N85" s="218"/>
      <c r="O85" s="218"/>
      <c r="P85" s="218"/>
      <c r="Q85" s="220"/>
      <c r="R85" s="218"/>
      <c r="S85" s="218"/>
      <c r="T85" s="218"/>
      <c r="U85" s="218"/>
      <c r="V85" s="218"/>
      <c r="W85" s="221"/>
      <c r="X85" s="218"/>
      <c r="Y85" s="218"/>
      <c r="Z85" s="218"/>
      <c r="AA85" s="218"/>
      <c r="AB85" s="218"/>
      <c r="AC85" s="220"/>
      <c r="AD85" s="218"/>
      <c r="AE85" s="218"/>
      <c r="AF85" s="218"/>
      <c r="AG85" s="218"/>
      <c r="AH85" s="218"/>
      <c r="AI85" s="221"/>
      <c r="AJ85" s="218"/>
      <c r="AK85" s="218"/>
      <c r="AL85" s="218"/>
      <c r="AM85" s="218"/>
      <c r="AN85" s="218"/>
      <c r="AO85" s="220"/>
      <c r="AP85" s="218"/>
      <c r="AQ85" s="218"/>
      <c r="AR85" s="218"/>
      <c r="AS85" s="218"/>
      <c r="AT85" s="218"/>
      <c r="AU85" s="221"/>
      <c r="AV85" s="218"/>
      <c r="AW85" s="218"/>
      <c r="AX85" s="218"/>
      <c r="AY85" s="218"/>
      <c r="AZ85" s="218"/>
      <c r="BA85" s="220"/>
      <c r="BB85" s="218"/>
      <c r="BC85" s="218"/>
      <c r="BD85" s="218"/>
      <c r="BE85" s="218"/>
      <c r="BF85" s="218"/>
      <c r="BG85" s="221"/>
      <c r="BH85" s="218"/>
      <c r="BI85" s="218"/>
      <c r="BJ85" s="218"/>
      <c r="BK85" s="218"/>
      <c r="BL85" s="218"/>
      <c r="BM85" s="222"/>
      <c r="BN85" s="217"/>
      <c r="BO85" s="218"/>
      <c r="BP85" s="218"/>
      <c r="BQ85" s="218"/>
      <c r="BR85" s="218"/>
      <c r="BS85" s="219"/>
      <c r="BT85" s="218"/>
      <c r="BU85" s="218"/>
      <c r="BV85" s="218"/>
      <c r="BW85" s="218"/>
      <c r="BX85" s="218"/>
      <c r="BY85" s="220"/>
      <c r="BZ85" s="218"/>
      <c r="CA85" s="218"/>
      <c r="CB85" s="218"/>
      <c r="CC85" s="218"/>
      <c r="CD85" s="218"/>
      <c r="CE85" s="221"/>
      <c r="CF85" s="218"/>
      <c r="CG85" s="218"/>
      <c r="CH85" s="218"/>
      <c r="CI85" s="218"/>
      <c r="CJ85" s="218"/>
      <c r="CK85" s="220"/>
      <c r="CL85" s="218"/>
      <c r="CM85" s="218"/>
      <c r="CN85" s="218"/>
      <c r="CO85" s="218"/>
      <c r="CP85" s="218"/>
      <c r="CQ85" s="221"/>
      <c r="CR85" s="218"/>
      <c r="CS85" s="218"/>
      <c r="CT85" s="218"/>
      <c r="CU85" s="218"/>
      <c r="CV85" s="218"/>
      <c r="CW85" s="220"/>
      <c r="CX85" s="218"/>
      <c r="CY85" s="218"/>
      <c r="CZ85" s="218"/>
      <c r="DA85" s="218"/>
      <c r="DB85" s="218"/>
      <c r="DC85" s="221"/>
      <c r="DD85" s="218"/>
      <c r="DE85" s="218"/>
      <c r="DF85" s="218"/>
      <c r="DG85" s="218"/>
      <c r="DH85" s="218"/>
      <c r="DI85" s="220"/>
      <c r="DJ85" s="218"/>
      <c r="DK85" s="218"/>
      <c r="DL85" s="218"/>
      <c r="DM85" s="218"/>
      <c r="DN85" s="218"/>
      <c r="DO85" s="221"/>
      <c r="DP85" s="218"/>
      <c r="DQ85" s="218"/>
      <c r="DR85" s="218"/>
      <c r="DS85" s="218"/>
      <c r="DT85" s="218"/>
      <c r="DU85" s="222"/>
      <c r="DV85" s="217"/>
      <c r="DW85" s="218"/>
      <c r="DX85" s="218"/>
      <c r="DY85" s="218"/>
      <c r="DZ85" s="218"/>
      <c r="EA85" s="219"/>
      <c r="EB85" s="218"/>
      <c r="EC85" s="218"/>
      <c r="ED85" s="218"/>
      <c r="EE85" s="218"/>
      <c r="EF85" s="218"/>
      <c r="EG85" s="220"/>
      <c r="EH85" s="218"/>
      <c r="EI85" s="218"/>
      <c r="EJ85" s="218"/>
      <c r="EK85" s="218"/>
      <c r="EL85" s="218"/>
      <c r="EM85" s="221"/>
      <c r="EN85" s="218"/>
      <c r="EO85" s="218"/>
      <c r="EP85" s="218"/>
      <c r="EQ85" s="218"/>
      <c r="ER85" s="218"/>
      <c r="ES85" s="220"/>
      <c r="ET85" s="218"/>
      <c r="EU85" s="218"/>
      <c r="EV85" s="218"/>
      <c r="EW85" s="218"/>
      <c r="EX85" s="218"/>
      <c r="EY85" s="221"/>
      <c r="EZ85" s="218"/>
      <c r="FA85" s="218"/>
      <c r="FB85" s="218"/>
      <c r="FC85" s="218"/>
      <c r="FD85" s="218"/>
      <c r="FE85" s="220"/>
      <c r="FF85" s="218"/>
      <c r="FG85" s="218"/>
      <c r="FH85" s="218"/>
      <c r="FI85" s="218"/>
      <c r="FJ85" s="218"/>
      <c r="FK85" s="221"/>
      <c r="FL85" s="218"/>
      <c r="FM85" s="218"/>
      <c r="FN85" s="218"/>
      <c r="FO85" s="218"/>
      <c r="FP85" s="218"/>
      <c r="FQ85" s="220"/>
      <c r="FR85" s="218"/>
      <c r="FS85" s="218"/>
      <c r="FT85" s="218"/>
      <c r="FU85" s="218"/>
      <c r="FV85" s="218"/>
      <c r="FW85" s="221"/>
      <c r="FX85" s="218"/>
      <c r="FY85" s="218"/>
      <c r="FZ85" s="218"/>
      <c r="GA85" s="218"/>
      <c r="GB85" s="218"/>
      <c r="GC85" s="222"/>
      <c r="GD85" s="217"/>
      <c r="GE85" s="218"/>
      <c r="GF85" s="218"/>
      <c r="GG85" s="218"/>
      <c r="GH85" s="218"/>
      <c r="GI85" s="219"/>
      <c r="GJ85" s="218"/>
      <c r="GK85" s="218"/>
      <c r="GL85" s="218"/>
      <c r="GM85" s="218"/>
      <c r="GN85" s="218"/>
      <c r="GO85" s="220"/>
      <c r="GP85" s="218"/>
      <c r="GQ85" s="218"/>
      <c r="GR85" s="218"/>
      <c r="GS85" s="218"/>
      <c r="GT85" s="218"/>
      <c r="GU85" s="221"/>
      <c r="GV85" s="218"/>
      <c r="GW85" s="218"/>
      <c r="GX85" s="218"/>
      <c r="GY85" s="218"/>
      <c r="GZ85" s="218"/>
      <c r="HA85" s="220"/>
      <c r="HB85" s="218"/>
      <c r="HC85" s="218"/>
      <c r="HD85" s="218"/>
      <c r="HE85" s="218"/>
      <c r="HF85" s="218"/>
      <c r="HG85" s="221"/>
      <c r="HH85" s="218"/>
      <c r="HI85" s="218"/>
      <c r="HJ85" s="218"/>
      <c r="HK85" s="218"/>
      <c r="HL85" s="218"/>
      <c r="HM85" s="220"/>
      <c r="HN85" s="218"/>
      <c r="HO85" s="218"/>
      <c r="HP85" s="218"/>
      <c r="HQ85" s="218"/>
      <c r="HR85" s="218"/>
      <c r="HS85" s="221"/>
      <c r="HT85" s="218"/>
      <c r="HU85" s="218"/>
      <c r="HV85" s="218"/>
      <c r="HW85" s="218"/>
      <c r="HX85" s="218"/>
      <c r="HY85" s="220"/>
      <c r="HZ85" s="218"/>
      <c r="IA85" s="218"/>
      <c r="IB85" s="218"/>
      <c r="IC85" s="218"/>
      <c r="ID85" s="218"/>
      <c r="IE85" s="221"/>
      <c r="IF85" s="218"/>
      <c r="IG85" s="218"/>
      <c r="IH85" s="218"/>
      <c r="II85" s="218"/>
      <c r="IJ85" s="218"/>
      <c r="IK85" s="222"/>
      <c r="IL85" s="217"/>
      <c r="IM85" s="218"/>
      <c r="IN85" s="218"/>
      <c r="IO85" s="218"/>
      <c r="IP85" s="218"/>
      <c r="IQ85" s="219"/>
      <c r="IR85" s="218"/>
      <c r="IS85" s="218"/>
      <c r="IT85" s="218"/>
      <c r="IU85" s="218"/>
      <c r="IV85" s="218"/>
      <c r="IW85" s="220"/>
      <c r="IX85" s="218"/>
      <c r="IY85" s="218"/>
      <c r="IZ85" s="218"/>
      <c r="JA85" s="218"/>
      <c r="JB85" s="218"/>
      <c r="JC85" s="221"/>
      <c r="JD85" s="218"/>
      <c r="JE85" s="218"/>
      <c r="JF85" s="218"/>
      <c r="JG85" s="218"/>
      <c r="JH85" s="218"/>
      <c r="JI85" s="220"/>
      <c r="JJ85" s="218"/>
      <c r="JK85" s="218"/>
      <c r="JL85" s="218"/>
      <c r="JM85" s="218"/>
      <c r="JN85" s="218"/>
      <c r="JO85" s="221"/>
      <c r="JP85" s="218"/>
      <c r="JQ85" s="218"/>
      <c r="JR85" s="218"/>
      <c r="JS85" s="218"/>
      <c r="JT85" s="218"/>
      <c r="JU85" s="220"/>
      <c r="JV85" s="218"/>
      <c r="JW85" s="218"/>
      <c r="JX85" s="218"/>
      <c r="JY85" s="218"/>
      <c r="JZ85" s="218"/>
      <c r="KA85" s="221"/>
      <c r="KB85" s="218"/>
      <c r="KC85" s="218"/>
      <c r="KD85" s="218"/>
      <c r="KE85" s="218"/>
      <c r="KF85" s="218"/>
      <c r="KG85" s="220"/>
      <c r="KH85" s="218"/>
      <c r="KI85" s="218"/>
      <c r="KJ85" s="218"/>
      <c r="KK85" s="218"/>
      <c r="KL85" s="218"/>
      <c r="KM85" s="221"/>
      <c r="KN85" s="218"/>
      <c r="KO85" s="218"/>
      <c r="KP85" s="218"/>
      <c r="KQ85" s="218"/>
      <c r="KR85" s="218"/>
      <c r="KS85" s="222"/>
      <c r="KT85" s="217"/>
      <c r="KU85" s="218"/>
      <c r="KV85" s="218"/>
      <c r="KW85" s="218"/>
      <c r="KX85" s="218"/>
      <c r="KY85" s="219"/>
      <c r="KZ85" s="218"/>
      <c r="LA85" s="218"/>
      <c r="LB85" s="218"/>
      <c r="LC85" s="218"/>
      <c r="LD85" s="218"/>
      <c r="LE85" s="220"/>
      <c r="LF85" s="218"/>
      <c r="LG85" s="218"/>
      <c r="LH85" s="218"/>
      <c r="LI85" s="218"/>
      <c r="LJ85" s="218"/>
      <c r="LK85" s="221"/>
      <c r="LL85" s="218"/>
      <c r="LM85" s="218"/>
      <c r="LN85" s="218"/>
      <c r="LO85" s="218"/>
      <c r="LP85" s="218"/>
      <c r="LQ85" s="220"/>
      <c r="LR85" s="218"/>
      <c r="LS85" s="218"/>
      <c r="LT85" s="218"/>
      <c r="LU85" s="218"/>
      <c r="LV85" s="218"/>
      <c r="LW85" s="221"/>
      <c r="LX85" s="218"/>
      <c r="LY85" s="218"/>
      <c r="LZ85" s="218"/>
      <c r="MA85" s="218"/>
      <c r="MB85" s="218"/>
      <c r="MC85" s="220"/>
      <c r="MD85" s="218"/>
      <c r="ME85" s="218"/>
      <c r="MF85" s="218"/>
      <c r="MG85" s="218"/>
      <c r="MH85" s="218"/>
      <c r="MI85" s="221"/>
      <c r="MJ85" s="218"/>
      <c r="MK85" s="218"/>
      <c r="ML85" s="218"/>
      <c r="MM85" s="218"/>
      <c r="MN85" s="218"/>
      <c r="MO85" s="220"/>
      <c r="MP85" s="218"/>
      <c r="MQ85" s="218"/>
      <c r="MR85" s="218"/>
      <c r="MS85" s="218"/>
      <c r="MT85" s="218"/>
      <c r="MU85" s="221"/>
      <c r="MV85" s="218"/>
      <c r="MW85" s="218"/>
      <c r="MX85" s="218"/>
      <c r="MY85" s="218"/>
      <c r="MZ85" s="218"/>
      <c r="NA85" s="222"/>
      <c r="NB85" s="217"/>
      <c r="NC85" s="218"/>
      <c r="ND85" s="218"/>
      <c r="NE85" s="218"/>
      <c r="NF85" s="218"/>
      <c r="NG85" s="219"/>
      <c r="NH85" s="218"/>
      <c r="NI85" s="218"/>
      <c r="NJ85" s="218"/>
      <c r="NK85" s="218"/>
      <c r="NL85" s="218"/>
      <c r="NM85" s="220"/>
      <c r="NN85" s="218"/>
      <c r="NO85" s="218"/>
      <c r="NP85" s="218"/>
      <c r="NQ85" s="218"/>
      <c r="NR85" s="218"/>
      <c r="NS85" s="221"/>
      <c r="NT85" s="218"/>
      <c r="NU85" s="218"/>
      <c r="NV85" s="218"/>
      <c r="NW85" s="218"/>
      <c r="NX85" s="218"/>
      <c r="NY85" s="220"/>
      <c r="NZ85" s="218"/>
      <c r="OA85" s="218"/>
      <c r="OB85" s="218"/>
      <c r="OC85" s="218"/>
      <c r="OD85" s="218"/>
      <c r="OE85" s="221"/>
      <c r="OF85" s="218"/>
      <c r="OG85" s="218"/>
      <c r="OH85" s="218"/>
      <c r="OI85" s="218"/>
      <c r="OJ85" s="218"/>
      <c r="OK85" s="220"/>
      <c r="OL85" s="218"/>
      <c r="OM85" s="218"/>
      <c r="ON85" s="218"/>
      <c r="OO85" s="218"/>
      <c r="OP85" s="218"/>
      <c r="OQ85" s="221"/>
      <c r="OR85" s="218"/>
      <c r="OS85" s="218"/>
      <c r="OT85" s="218"/>
      <c r="OU85" s="218"/>
      <c r="OV85" s="218"/>
      <c r="OW85" s="220"/>
      <c r="OX85" s="218"/>
      <c r="OY85" s="218"/>
      <c r="OZ85" s="218"/>
      <c r="PA85" s="218"/>
      <c r="PB85" s="218"/>
      <c r="PC85" s="221"/>
      <c r="PD85" s="218"/>
      <c r="PE85" s="218"/>
      <c r="PF85" s="218"/>
      <c r="PG85" s="218"/>
      <c r="PH85" s="218"/>
      <c r="PI85" s="222"/>
      <c r="PJ85" s="217"/>
      <c r="PK85" s="218"/>
      <c r="PL85" s="218"/>
      <c r="PM85" s="218"/>
      <c r="PN85" s="218"/>
      <c r="PO85" s="219"/>
      <c r="PP85" s="218"/>
      <c r="PQ85" s="218"/>
      <c r="PR85" s="218"/>
      <c r="PS85" s="218"/>
      <c r="PT85" s="218"/>
      <c r="PU85" s="220"/>
      <c r="PV85" s="218"/>
      <c r="PW85" s="218"/>
      <c r="PX85" s="218"/>
      <c r="PY85" s="218"/>
      <c r="PZ85" s="218"/>
      <c r="QA85" s="221"/>
      <c r="QB85" s="218"/>
      <c r="QC85" s="218"/>
      <c r="QD85" s="218"/>
      <c r="QE85" s="218"/>
      <c r="QF85" s="218"/>
      <c r="QG85" s="220"/>
      <c r="QH85" s="218"/>
      <c r="QI85" s="218"/>
      <c r="QJ85" s="218"/>
      <c r="QK85" s="218"/>
      <c r="QL85" s="218"/>
      <c r="QM85" s="221"/>
      <c r="QN85" s="218"/>
      <c r="QO85" s="218"/>
      <c r="QP85" s="218"/>
      <c r="QQ85" s="218"/>
      <c r="QR85" s="218"/>
      <c r="QS85" s="220"/>
      <c r="QT85" s="218"/>
      <c r="QU85" s="218"/>
      <c r="QV85" s="218"/>
      <c r="QW85" s="218"/>
      <c r="QX85" s="218"/>
      <c r="QY85" s="221"/>
      <c r="QZ85" s="218"/>
      <c r="RA85" s="218"/>
      <c r="RB85" s="218"/>
      <c r="RC85" s="218"/>
      <c r="RD85" s="218"/>
      <c r="RE85" s="220"/>
      <c r="RF85" s="218"/>
      <c r="RG85" s="218"/>
      <c r="RH85" s="218"/>
      <c r="RI85" s="218"/>
      <c r="RJ85" s="218"/>
      <c r="RK85" s="221"/>
      <c r="RL85" s="218"/>
      <c r="RM85" s="218"/>
      <c r="RN85" s="218"/>
      <c r="RO85" s="218"/>
      <c r="RP85" s="218"/>
      <c r="RQ85" s="222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73"/>
    </row>
    <row r="86" spans="1:1326" ht="20.100000000000001" customHeight="1" x14ac:dyDescent="0.3">
      <c r="A86" s="78" t="s">
        <v>27</v>
      </c>
      <c r="B86" s="51"/>
      <c r="C86" s="164"/>
      <c r="D86" s="121" t="str">
        <f t="shared" si="1"/>
        <v>90h</v>
      </c>
      <c r="E86" s="30">
        <v>1080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73"/>
    </row>
    <row r="87" spans="1:1326" ht="20.100000000000001" customHeight="1" x14ac:dyDescent="0.25">
      <c r="A87" s="78" t="s">
        <v>26</v>
      </c>
      <c r="B87" s="51"/>
      <c r="C87" s="163" t="s">
        <v>41</v>
      </c>
      <c r="D87" s="119" t="str">
        <f t="shared" si="1"/>
        <v>90h</v>
      </c>
      <c r="E87" s="34">
        <v>1080</v>
      </c>
      <c r="F87" s="211"/>
      <c r="G87" s="212"/>
      <c r="H87" s="212"/>
      <c r="I87" s="212"/>
      <c r="J87" s="212"/>
      <c r="K87" s="213"/>
      <c r="L87" s="212"/>
      <c r="M87" s="212"/>
      <c r="N87" s="212"/>
      <c r="O87" s="212"/>
      <c r="P87" s="212"/>
      <c r="Q87" s="214"/>
      <c r="R87" s="212"/>
      <c r="S87" s="212"/>
      <c r="T87" s="212"/>
      <c r="U87" s="212"/>
      <c r="V87" s="212"/>
      <c r="W87" s="215"/>
      <c r="X87" s="212"/>
      <c r="Y87" s="212"/>
      <c r="Z87" s="212"/>
      <c r="AA87" s="212"/>
      <c r="AB87" s="212"/>
      <c r="AC87" s="214"/>
      <c r="AD87" s="212"/>
      <c r="AE87" s="212"/>
      <c r="AF87" s="212"/>
      <c r="AG87" s="212"/>
      <c r="AH87" s="212"/>
      <c r="AI87" s="215"/>
      <c r="AJ87" s="212"/>
      <c r="AK87" s="212"/>
      <c r="AL87" s="212"/>
      <c r="AM87" s="212"/>
      <c r="AN87" s="212"/>
      <c r="AO87" s="214"/>
      <c r="AP87" s="212"/>
      <c r="AQ87" s="212"/>
      <c r="AR87" s="212"/>
      <c r="AS87" s="212"/>
      <c r="AT87" s="212"/>
      <c r="AU87" s="215"/>
      <c r="AV87" s="212"/>
      <c r="AW87" s="212"/>
      <c r="AX87" s="212"/>
      <c r="AY87" s="212"/>
      <c r="AZ87" s="212"/>
      <c r="BA87" s="214"/>
      <c r="BB87" s="212"/>
      <c r="BC87" s="212"/>
      <c r="BD87" s="212"/>
      <c r="BE87" s="212"/>
      <c r="BF87" s="212"/>
      <c r="BG87" s="215"/>
      <c r="BH87" s="212"/>
      <c r="BI87" s="212"/>
      <c r="BJ87" s="212"/>
      <c r="BK87" s="212"/>
      <c r="BL87" s="212"/>
      <c r="BM87" s="216"/>
      <c r="BN87" s="211"/>
      <c r="BO87" s="212"/>
      <c r="BP87" s="212"/>
      <c r="BQ87" s="212"/>
      <c r="BR87" s="212"/>
      <c r="BS87" s="213"/>
      <c r="BT87" s="212"/>
      <c r="BU87" s="212"/>
      <c r="BV87" s="212"/>
      <c r="BW87" s="212"/>
      <c r="BX87" s="212"/>
      <c r="BY87" s="214"/>
      <c r="BZ87" s="212"/>
      <c r="CA87" s="212"/>
      <c r="CB87" s="212"/>
      <c r="CC87" s="212"/>
      <c r="CD87" s="212"/>
      <c r="CE87" s="215"/>
      <c r="CF87" s="212"/>
      <c r="CG87" s="212"/>
      <c r="CH87" s="212"/>
      <c r="CI87" s="212"/>
      <c r="CJ87" s="212"/>
      <c r="CK87" s="214"/>
      <c r="CL87" s="212"/>
      <c r="CM87" s="212"/>
      <c r="CN87" s="212"/>
      <c r="CO87" s="212"/>
      <c r="CP87" s="212"/>
      <c r="CQ87" s="215"/>
      <c r="CR87" s="212"/>
      <c r="CS87" s="212"/>
      <c r="CT87" s="212"/>
      <c r="CU87" s="212"/>
      <c r="CV87" s="212"/>
      <c r="CW87" s="214"/>
      <c r="CX87" s="212"/>
      <c r="CY87" s="212"/>
      <c r="CZ87" s="212"/>
      <c r="DA87" s="212"/>
      <c r="DB87" s="212"/>
      <c r="DC87" s="215"/>
      <c r="DD87" s="212"/>
      <c r="DE87" s="212"/>
      <c r="DF87" s="212"/>
      <c r="DG87" s="212"/>
      <c r="DH87" s="212"/>
      <c r="DI87" s="214"/>
      <c r="DJ87" s="212"/>
      <c r="DK87" s="212"/>
      <c r="DL87" s="212"/>
      <c r="DM87" s="212"/>
      <c r="DN87" s="212"/>
      <c r="DO87" s="215"/>
      <c r="DP87" s="212"/>
      <c r="DQ87" s="212"/>
      <c r="DR87" s="212"/>
      <c r="DS87" s="212"/>
      <c r="DT87" s="212"/>
      <c r="DU87" s="216"/>
      <c r="DV87" s="211"/>
      <c r="DW87" s="212"/>
      <c r="DX87" s="212"/>
      <c r="DY87" s="212"/>
      <c r="DZ87" s="212"/>
      <c r="EA87" s="213"/>
      <c r="EB87" s="212"/>
      <c r="EC87" s="212"/>
      <c r="ED87" s="212"/>
      <c r="EE87" s="212"/>
      <c r="EF87" s="212"/>
      <c r="EG87" s="214"/>
      <c r="EH87" s="212"/>
      <c r="EI87" s="212"/>
      <c r="EJ87" s="212"/>
      <c r="EK87" s="212"/>
      <c r="EL87" s="212"/>
      <c r="EM87" s="215"/>
      <c r="EN87" s="212"/>
      <c r="EO87" s="212"/>
      <c r="EP87" s="212"/>
      <c r="EQ87" s="212"/>
      <c r="ER87" s="212"/>
      <c r="ES87" s="214"/>
      <c r="ET87" s="212"/>
      <c r="EU87" s="212"/>
      <c r="EV87" s="212"/>
      <c r="EW87" s="212"/>
      <c r="EX87" s="212"/>
      <c r="EY87" s="215"/>
      <c r="EZ87" s="212"/>
      <c r="FA87" s="212"/>
      <c r="FB87" s="212"/>
      <c r="FC87" s="212"/>
      <c r="FD87" s="212"/>
      <c r="FE87" s="214"/>
      <c r="FF87" s="212"/>
      <c r="FG87" s="212"/>
      <c r="FH87" s="212"/>
      <c r="FI87" s="212"/>
      <c r="FJ87" s="212"/>
      <c r="FK87" s="215"/>
      <c r="FL87" s="212"/>
      <c r="FM87" s="212"/>
      <c r="FN87" s="212"/>
      <c r="FO87" s="212"/>
      <c r="FP87" s="212"/>
      <c r="FQ87" s="214"/>
      <c r="FR87" s="212"/>
      <c r="FS87" s="212"/>
      <c r="FT87" s="212"/>
      <c r="FU87" s="212"/>
      <c r="FV87" s="212"/>
      <c r="FW87" s="215"/>
      <c r="FX87" s="212"/>
      <c r="FY87" s="212"/>
      <c r="FZ87" s="212"/>
      <c r="GA87" s="212"/>
      <c r="GB87" s="212"/>
      <c r="GC87" s="216"/>
      <c r="GD87" s="211"/>
      <c r="GE87" s="212"/>
      <c r="GF87" s="212"/>
      <c r="GG87" s="212"/>
      <c r="GH87" s="212"/>
      <c r="GI87" s="213"/>
      <c r="GJ87" s="212"/>
      <c r="GK87" s="212"/>
      <c r="GL87" s="212"/>
      <c r="GM87" s="212"/>
      <c r="GN87" s="212"/>
      <c r="GO87" s="214"/>
      <c r="GP87" s="212"/>
      <c r="GQ87" s="212"/>
      <c r="GR87" s="212"/>
      <c r="GS87" s="212"/>
      <c r="GT87" s="212"/>
      <c r="GU87" s="215"/>
      <c r="GV87" s="212"/>
      <c r="GW87" s="212"/>
      <c r="GX87" s="212"/>
      <c r="GY87" s="212"/>
      <c r="GZ87" s="212"/>
      <c r="HA87" s="214"/>
      <c r="HB87" s="212"/>
      <c r="HC87" s="212"/>
      <c r="HD87" s="212"/>
      <c r="HE87" s="212"/>
      <c r="HF87" s="212"/>
      <c r="HG87" s="215"/>
      <c r="HH87" s="212"/>
      <c r="HI87" s="212"/>
      <c r="HJ87" s="212"/>
      <c r="HK87" s="212"/>
      <c r="HL87" s="212"/>
      <c r="HM87" s="214"/>
      <c r="HN87" s="212"/>
      <c r="HO87" s="212"/>
      <c r="HP87" s="212"/>
      <c r="HQ87" s="212"/>
      <c r="HR87" s="212"/>
      <c r="HS87" s="215"/>
      <c r="HT87" s="212"/>
      <c r="HU87" s="212"/>
      <c r="HV87" s="212"/>
      <c r="HW87" s="212"/>
      <c r="HX87" s="212"/>
      <c r="HY87" s="214"/>
      <c r="HZ87" s="212"/>
      <c r="IA87" s="212"/>
      <c r="IB87" s="212"/>
      <c r="IC87" s="212"/>
      <c r="ID87" s="212"/>
      <c r="IE87" s="215"/>
      <c r="IF87" s="212"/>
      <c r="IG87" s="212"/>
      <c r="IH87" s="212"/>
      <c r="II87" s="212"/>
      <c r="IJ87" s="212"/>
      <c r="IK87" s="216"/>
      <c r="IL87" s="211"/>
      <c r="IM87" s="212"/>
      <c r="IN87" s="212"/>
      <c r="IO87" s="212"/>
      <c r="IP87" s="212"/>
      <c r="IQ87" s="213"/>
      <c r="IR87" s="212"/>
      <c r="IS87" s="212"/>
      <c r="IT87" s="212"/>
      <c r="IU87" s="212"/>
      <c r="IV87" s="212"/>
      <c r="IW87" s="214"/>
      <c r="IX87" s="212"/>
      <c r="IY87" s="212"/>
      <c r="IZ87" s="212"/>
      <c r="JA87" s="212"/>
      <c r="JB87" s="212"/>
      <c r="JC87" s="215"/>
      <c r="JD87" s="212"/>
      <c r="JE87" s="212"/>
      <c r="JF87" s="212"/>
      <c r="JG87" s="212"/>
      <c r="JH87" s="212"/>
      <c r="JI87" s="214"/>
      <c r="JJ87" s="212"/>
      <c r="JK87" s="212"/>
      <c r="JL87" s="212"/>
      <c r="JM87" s="212"/>
      <c r="JN87" s="212"/>
      <c r="JO87" s="215"/>
      <c r="JP87" s="212"/>
      <c r="JQ87" s="212"/>
      <c r="JR87" s="212"/>
      <c r="JS87" s="212"/>
      <c r="JT87" s="212"/>
      <c r="JU87" s="214"/>
      <c r="JV87" s="212"/>
      <c r="JW87" s="212"/>
      <c r="JX87" s="212"/>
      <c r="JY87" s="212"/>
      <c r="JZ87" s="212"/>
      <c r="KA87" s="215"/>
      <c r="KB87" s="212"/>
      <c r="KC87" s="212"/>
      <c r="KD87" s="212"/>
      <c r="KE87" s="212"/>
      <c r="KF87" s="212"/>
      <c r="KG87" s="214"/>
      <c r="KH87" s="212"/>
      <c r="KI87" s="212"/>
      <c r="KJ87" s="212"/>
      <c r="KK87" s="212"/>
      <c r="KL87" s="212"/>
      <c r="KM87" s="215"/>
      <c r="KN87" s="212"/>
      <c r="KO87" s="212"/>
      <c r="KP87" s="212"/>
      <c r="KQ87" s="212"/>
      <c r="KR87" s="212"/>
      <c r="KS87" s="216"/>
      <c r="KT87" s="211"/>
      <c r="KU87" s="212"/>
      <c r="KV87" s="212"/>
      <c r="KW87" s="212"/>
      <c r="KX87" s="212"/>
      <c r="KY87" s="213"/>
      <c r="KZ87" s="212"/>
      <c r="LA87" s="212"/>
      <c r="LB87" s="212"/>
      <c r="LC87" s="212"/>
      <c r="LD87" s="212"/>
      <c r="LE87" s="214"/>
      <c r="LF87" s="212"/>
      <c r="LG87" s="212"/>
      <c r="LH87" s="212"/>
      <c r="LI87" s="212"/>
      <c r="LJ87" s="212"/>
      <c r="LK87" s="215"/>
      <c r="LL87" s="212"/>
      <c r="LM87" s="212"/>
      <c r="LN87" s="212"/>
      <c r="LO87" s="212"/>
      <c r="LP87" s="212"/>
      <c r="LQ87" s="214"/>
      <c r="LR87" s="212"/>
      <c r="LS87" s="212"/>
      <c r="LT87" s="212"/>
      <c r="LU87" s="212"/>
      <c r="LV87" s="212"/>
      <c r="LW87" s="215"/>
      <c r="LX87" s="212"/>
      <c r="LY87" s="212"/>
      <c r="LZ87" s="212"/>
      <c r="MA87" s="212"/>
      <c r="MB87" s="212"/>
      <c r="MC87" s="214"/>
      <c r="MD87" s="212"/>
      <c r="ME87" s="212"/>
      <c r="MF87" s="212"/>
      <c r="MG87" s="212"/>
      <c r="MH87" s="212"/>
      <c r="MI87" s="215"/>
      <c r="MJ87" s="212"/>
      <c r="MK87" s="212"/>
      <c r="ML87" s="212"/>
      <c r="MM87" s="212"/>
      <c r="MN87" s="212"/>
      <c r="MO87" s="214"/>
      <c r="MP87" s="212"/>
      <c r="MQ87" s="212"/>
      <c r="MR87" s="212"/>
      <c r="MS87" s="212"/>
      <c r="MT87" s="212"/>
      <c r="MU87" s="215"/>
      <c r="MV87" s="212"/>
      <c r="MW87" s="212"/>
      <c r="MX87" s="212"/>
      <c r="MY87" s="212"/>
      <c r="MZ87" s="212"/>
      <c r="NA87" s="216"/>
      <c r="NB87" s="211"/>
      <c r="NC87" s="212"/>
      <c r="ND87" s="212"/>
      <c r="NE87" s="212"/>
      <c r="NF87" s="212"/>
      <c r="NG87" s="213"/>
      <c r="NH87" s="212"/>
      <c r="NI87" s="212"/>
      <c r="NJ87" s="212"/>
      <c r="NK87" s="212"/>
      <c r="NL87" s="212"/>
      <c r="NM87" s="214"/>
      <c r="NN87" s="212"/>
      <c r="NO87" s="212"/>
      <c r="NP87" s="212"/>
      <c r="NQ87" s="212"/>
      <c r="NR87" s="212"/>
      <c r="NS87" s="215"/>
      <c r="NT87" s="212"/>
      <c r="NU87" s="212"/>
      <c r="NV87" s="212"/>
      <c r="NW87" s="212"/>
      <c r="NX87" s="212"/>
      <c r="NY87" s="214"/>
      <c r="NZ87" s="212"/>
      <c r="OA87" s="212"/>
      <c r="OB87" s="212"/>
      <c r="OC87" s="212"/>
      <c r="OD87" s="212"/>
      <c r="OE87" s="215"/>
      <c r="OF87" s="212"/>
      <c r="OG87" s="212"/>
      <c r="OH87" s="212"/>
      <c r="OI87" s="212"/>
      <c r="OJ87" s="212"/>
      <c r="OK87" s="214"/>
      <c r="OL87" s="212"/>
      <c r="OM87" s="212"/>
      <c r="ON87" s="212"/>
      <c r="OO87" s="212"/>
      <c r="OP87" s="212"/>
      <c r="OQ87" s="215"/>
      <c r="OR87" s="212"/>
      <c r="OS87" s="212"/>
      <c r="OT87" s="212"/>
      <c r="OU87" s="212"/>
      <c r="OV87" s="212"/>
      <c r="OW87" s="214"/>
      <c r="OX87" s="212"/>
      <c r="OY87" s="212"/>
      <c r="OZ87" s="212"/>
      <c r="PA87" s="212"/>
      <c r="PB87" s="212"/>
      <c r="PC87" s="215"/>
      <c r="PD87" s="212"/>
      <c r="PE87" s="212"/>
      <c r="PF87" s="212"/>
      <c r="PG87" s="212"/>
      <c r="PH87" s="212"/>
      <c r="PI87" s="216"/>
      <c r="PJ87" s="211"/>
      <c r="PK87" s="212"/>
      <c r="PL87" s="212"/>
      <c r="PM87" s="212"/>
      <c r="PN87" s="212"/>
      <c r="PO87" s="213"/>
      <c r="PP87" s="212"/>
      <c r="PQ87" s="212"/>
      <c r="PR87" s="212"/>
      <c r="PS87" s="212"/>
      <c r="PT87" s="212"/>
      <c r="PU87" s="214"/>
      <c r="PV87" s="212"/>
      <c r="PW87" s="212"/>
      <c r="PX87" s="212"/>
      <c r="PY87" s="212"/>
      <c r="PZ87" s="212"/>
      <c r="QA87" s="215"/>
      <c r="QB87" s="212"/>
      <c r="QC87" s="212"/>
      <c r="QD87" s="212"/>
      <c r="QE87" s="212"/>
      <c r="QF87" s="212"/>
      <c r="QG87" s="214"/>
      <c r="QH87" s="212"/>
      <c r="QI87" s="212"/>
      <c r="QJ87" s="212"/>
      <c r="QK87" s="212"/>
      <c r="QL87" s="212"/>
      <c r="QM87" s="215"/>
      <c r="QN87" s="212"/>
      <c r="QO87" s="212"/>
      <c r="QP87" s="212"/>
      <c r="QQ87" s="212"/>
      <c r="QR87" s="212"/>
      <c r="QS87" s="214"/>
      <c r="QT87" s="212"/>
      <c r="QU87" s="212"/>
      <c r="QV87" s="212"/>
      <c r="QW87" s="212"/>
      <c r="QX87" s="212"/>
      <c r="QY87" s="215"/>
      <c r="QZ87" s="212"/>
      <c r="RA87" s="212"/>
      <c r="RB87" s="212"/>
      <c r="RC87" s="212"/>
      <c r="RD87" s="212"/>
      <c r="RE87" s="214"/>
      <c r="RF87" s="212"/>
      <c r="RG87" s="212"/>
      <c r="RH87" s="212"/>
      <c r="RI87" s="212"/>
      <c r="RJ87" s="212"/>
      <c r="RK87" s="215"/>
      <c r="RL87" s="212"/>
      <c r="RM87" s="212"/>
      <c r="RN87" s="212"/>
      <c r="RO87" s="212"/>
      <c r="RP87" s="212"/>
      <c r="RQ87" s="216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73"/>
    </row>
    <row r="88" spans="1:1326" ht="20.100000000000001" customHeight="1" x14ac:dyDescent="0.25">
      <c r="A88" s="78" t="s">
        <v>27</v>
      </c>
      <c r="B88" s="51"/>
      <c r="C88" s="164"/>
      <c r="D88" s="120" t="str">
        <f t="shared" si="1"/>
        <v>90h</v>
      </c>
      <c r="E88" s="22">
        <v>1080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73"/>
    </row>
    <row r="89" spans="1:1326" ht="20.100000000000001" customHeight="1" x14ac:dyDescent="0.25">
      <c r="A89" s="78" t="s">
        <v>26</v>
      </c>
      <c r="B89" s="51"/>
      <c r="C89" s="163"/>
      <c r="D89" s="119" t="str">
        <f t="shared" si="1"/>
        <v>90h</v>
      </c>
      <c r="E89" s="26">
        <v>1080</v>
      </c>
      <c r="F89" s="211"/>
      <c r="G89" s="212"/>
      <c r="H89" s="212"/>
      <c r="I89" s="212"/>
      <c r="J89" s="212"/>
      <c r="K89" s="213"/>
      <c r="L89" s="212"/>
      <c r="M89" s="212"/>
      <c r="N89" s="212"/>
      <c r="O89" s="212"/>
      <c r="P89" s="212"/>
      <c r="Q89" s="214"/>
      <c r="R89" s="212"/>
      <c r="S89" s="212"/>
      <c r="T89" s="212"/>
      <c r="U89" s="212"/>
      <c r="V89" s="212"/>
      <c r="W89" s="215"/>
      <c r="X89" s="212"/>
      <c r="Y89" s="212"/>
      <c r="Z89" s="212"/>
      <c r="AA89" s="212"/>
      <c r="AB89" s="212"/>
      <c r="AC89" s="214"/>
      <c r="AD89" s="212"/>
      <c r="AE89" s="212"/>
      <c r="AF89" s="212"/>
      <c r="AG89" s="212"/>
      <c r="AH89" s="212"/>
      <c r="AI89" s="215"/>
      <c r="AJ89" s="212"/>
      <c r="AK89" s="212"/>
      <c r="AL89" s="212"/>
      <c r="AM89" s="212"/>
      <c r="AN89" s="212"/>
      <c r="AO89" s="214"/>
      <c r="AP89" s="212"/>
      <c r="AQ89" s="212"/>
      <c r="AR89" s="212"/>
      <c r="AS89" s="212"/>
      <c r="AT89" s="212"/>
      <c r="AU89" s="215"/>
      <c r="AV89" s="212"/>
      <c r="AW89" s="212"/>
      <c r="AX89" s="212"/>
      <c r="AY89" s="212"/>
      <c r="AZ89" s="212"/>
      <c r="BA89" s="214"/>
      <c r="BB89" s="212"/>
      <c r="BC89" s="212"/>
      <c r="BD89" s="212"/>
      <c r="BE89" s="212"/>
      <c r="BF89" s="212"/>
      <c r="BG89" s="215"/>
      <c r="BH89" s="212"/>
      <c r="BI89" s="212"/>
      <c r="BJ89" s="212"/>
      <c r="BK89" s="212"/>
      <c r="BL89" s="212"/>
      <c r="BM89" s="216"/>
      <c r="BN89" s="211"/>
      <c r="BO89" s="212"/>
      <c r="BP89" s="212"/>
      <c r="BQ89" s="212"/>
      <c r="BR89" s="212"/>
      <c r="BS89" s="213"/>
      <c r="BT89" s="212"/>
      <c r="BU89" s="212"/>
      <c r="BV89" s="212"/>
      <c r="BW89" s="212"/>
      <c r="BX89" s="212"/>
      <c r="BY89" s="214"/>
      <c r="BZ89" s="212"/>
      <c r="CA89" s="212"/>
      <c r="CB89" s="212"/>
      <c r="CC89" s="212"/>
      <c r="CD89" s="212"/>
      <c r="CE89" s="215"/>
      <c r="CF89" s="212"/>
      <c r="CG89" s="212"/>
      <c r="CH89" s="212"/>
      <c r="CI89" s="212"/>
      <c r="CJ89" s="212"/>
      <c r="CK89" s="214"/>
      <c r="CL89" s="212"/>
      <c r="CM89" s="212"/>
      <c r="CN89" s="212"/>
      <c r="CO89" s="212"/>
      <c r="CP89" s="212"/>
      <c r="CQ89" s="215"/>
      <c r="CR89" s="212"/>
      <c r="CS89" s="212"/>
      <c r="CT89" s="212"/>
      <c r="CU89" s="212"/>
      <c r="CV89" s="212"/>
      <c r="CW89" s="214"/>
      <c r="CX89" s="212"/>
      <c r="CY89" s="212"/>
      <c r="CZ89" s="212"/>
      <c r="DA89" s="212"/>
      <c r="DB89" s="212"/>
      <c r="DC89" s="215"/>
      <c r="DD89" s="212"/>
      <c r="DE89" s="212"/>
      <c r="DF89" s="212"/>
      <c r="DG89" s="212"/>
      <c r="DH89" s="212"/>
      <c r="DI89" s="214"/>
      <c r="DJ89" s="212"/>
      <c r="DK89" s="212"/>
      <c r="DL89" s="212"/>
      <c r="DM89" s="212"/>
      <c r="DN89" s="212"/>
      <c r="DO89" s="215"/>
      <c r="DP89" s="212"/>
      <c r="DQ89" s="212"/>
      <c r="DR89" s="212"/>
      <c r="DS89" s="212"/>
      <c r="DT89" s="212"/>
      <c r="DU89" s="216"/>
      <c r="DV89" s="211"/>
      <c r="DW89" s="212"/>
      <c r="DX89" s="212"/>
      <c r="DY89" s="212"/>
      <c r="DZ89" s="212"/>
      <c r="EA89" s="213"/>
      <c r="EB89" s="212"/>
      <c r="EC89" s="212"/>
      <c r="ED89" s="212"/>
      <c r="EE89" s="212"/>
      <c r="EF89" s="212"/>
      <c r="EG89" s="214"/>
      <c r="EH89" s="212"/>
      <c r="EI89" s="212"/>
      <c r="EJ89" s="212"/>
      <c r="EK89" s="212"/>
      <c r="EL89" s="212"/>
      <c r="EM89" s="215"/>
      <c r="EN89" s="212"/>
      <c r="EO89" s="212"/>
      <c r="EP89" s="212"/>
      <c r="EQ89" s="212"/>
      <c r="ER89" s="212"/>
      <c r="ES89" s="214"/>
      <c r="ET89" s="212"/>
      <c r="EU89" s="212"/>
      <c r="EV89" s="212"/>
      <c r="EW89" s="212"/>
      <c r="EX89" s="212"/>
      <c r="EY89" s="215"/>
      <c r="EZ89" s="212"/>
      <c r="FA89" s="212"/>
      <c r="FB89" s="212"/>
      <c r="FC89" s="212"/>
      <c r="FD89" s="212"/>
      <c r="FE89" s="214"/>
      <c r="FF89" s="212"/>
      <c r="FG89" s="212"/>
      <c r="FH89" s="212"/>
      <c r="FI89" s="212"/>
      <c r="FJ89" s="212"/>
      <c r="FK89" s="215"/>
      <c r="FL89" s="212"/>
      <c r="FM89" s="212"/>
      <c r="FN89" s="212"/>
      <c r="FO89" s="212"/>
      <c r="FP89" s="212"/>
      <c r="FQ89" s="214"/>
      <c r="FR89" s="212"/>
      <c r="FS89" s="212"/>
      <c r="FT89" s="212"/>
      <c r="FU89" s="212"/>
      <c r="FV89" s="212"/>
      <c r="FW89" s="215"/>
      <c r="FX89" s="212"/>
      <c r="FY89" s="212"/>
      <c r="FZ89" s="212"/>
      <c r="GA89" s="212"/>
      <c r="GB89" s="212"/>
      <c r="GC89" s="216"/>
      <c r="GD89" s="211"/>
      <c r="GE89" s="212"/>
      <c r="GF89" s="212"/>
      <c r="GG89" s="212"/>
      <c r="GH89" s="212"/>
      <c r="GI89" s="213"/>
      <c r="GJ89" s="212"/>
      <c r="GK89" s="212"/>
      <c r="GL89" s="212"/>
      <c r="GM89" s="212"/>
      <c r="GN89" s="212"/>
      <c r="GO89" s="214"/>
      <c r="GP89" s="212"/>
      <c r="GQ89" s="212"/>
      <c r="GR89" s="212"/>
      <c r="GS89" s="212"/>
      <c r="GT89" s="212"/>
      <c r="GU89" s="215"/>
      <c r="GV89" s="212"/>
      <c r="GW89" s="212"/>
      <c r="GX89" s="212"/>
      <c r="GY89" s="212"/>
      <c r="GZ89" s="212"/>
      <c r="HA89" s="214"/>
      <c r="HB89" s="212"/>
      <c r="HC89" s="212"/>
      <c r="HD89" s="212"/>
      <c r="HE89" s="212"/>
      <c r="HF89" s="212"/>
      <c r="HG89" s="215"/>
      <c r="HH89" s="212"/>
      <c r="HI89" s="212"/>
      <c r="HJ89" s="212"/>
      <c r="HK89" s="212"/>
      <c r="HL89" s="212"/>
      <c r="HM89" s="214"/>
      <c r="HN89" s="212"/>
      <c r="HO89" s="212"/>
      <c r="HP89" s="212"/>
      <c r="HQ89" s="212"/>
      <c r="HR89" s="212"/>
      <c r="HS89" s="215"/>
      <c r="HT89" s="212"/>
      <c r="HU89" s="212"/>
      <c r="HV89" s="212"/>
      <c r="HW89" s="212"/>
      <c r="HX89" s="212"/>
      <c r="HY89" s="214"/>
      <c r="HZ89" s="212"/>
      <c r="IA89" s="212"/>
      <c r="IB89" s="212"/>
      <c r="IC89" s="212"/>
      <c r="ID89" s="212"/>
      <c r="IE89" s="215"/>
      <c r="IF89" s="212"/>
      <c r="IG89" s="212"/>
      <c r="IH89" s="212"/>
      <c r="II89" s="212"/>
      <c r="IJ89" s="212"/>
      <c r="IK89" s="216"/>
      <c r="IL89" s="211"/>
      <c r="IM89" s="212"/>
      <c r="IN89" s="212"/>
      <c r="IO89" s="212"/>
      <c r="IP89" s="212"/>
      <c r="IQ89" s="213"/>
      <c r="IR89" s="212"/>
      <c r="IS89" s="212"/>
      <c r="IT89" s="212"/>
      <c r="IU89" s="212"/>
      <c r="IV89" s="212"/>
      <c r="IW89" s="214"/>
      <c r="IX89" s="212"/>
      <c r="IY89" s="212"/>
      <c r="IZ89" s="212"/>
      <c r="JA89" s="212"/>
      <c r="JB89" s="212"/>
      <c r="JC89" s="215"/>
      <c r="JD89" s="212"/>
      <c r="JE89" s="212"/>
      <c r="JF89" s="212"/>
      <c r="JG89" s="212"/>
      <c r="JH89" s="212"/>
      <c r="JI89" s="214"/>
      <c r="JJ89" s="212"/>
      <c r="JK89" s="212"/>
      <c r="JL89" s="212"/>
      <c r="JM89" s="212"/>
      <c r="JN89" s="212"/>
      <c r="JO89" s="215"/>
      <c r="JP89" s="212"/>
      <c r="JQ89" s="212"/>
      <c r="JR89" s="212"/>
      <c r="JS89" s="212"/>
      <c r="JT89" s="212"/>
      <c r="JU89" s="214"/>
      <c r="JV89" s="212"/>
      <c r="JW89" s="212"/>
      <c r="JX89" s="212"/>
      <c r="JY89" s="212"/>
      <c r="JZ89" s="212"/>
      <c r="KA89" s="215"/>
      <c r="KB89" s="212"/>
      <c r="KC89" s="212"/>
      <c r="KD89" s="212"/>
      <c r="KE89" s="212"/>
      <c r="KF89" s="212"/>
      <c r="KG89" s="214"/>
      <c r="KH89" s="212"/>
      <c r="KI89" s="212"/>
      <c r="KJ89" s="212"/>
      <c r="KK89" s="212"/>
      <c r="KL89" s="212"/>
      <c r="KM89" s="215"/>
      <c r="KN89" s="212"/>
      <c r="KO89" s="212"/>
      <c r="KP89" s="212"/>
      <c r="KQ89" s="212"/>
      <c r="KR89" s="212"/>
      <c r="KS89" s="216"/>
      <c r="KT89" s="211"/>
      <c r="KU89" s="212"/>
      <c r="KV89" s="212"/>
      <c r="KW89" s="212"/>
      <c r="KX89" s="212"/>
      <c r="KY89" s="213"/>
      <c r="KZ89" s="212"/>
      <c r="LA89" s="212"/>
      <c r="LB89" s="212"/>
      <c r="LC89" s="212"/>
      <c r="LD89" s="212"/>
      <c r="LE89" s="214"/>
      <c r="LF89" s="212"/>
      <c r="LG89" s="212"/>
      <c r="LH89" s="212"/>
      <c r="LI89" s="212"/>
      <c r="LJ89" s="212"/>
      <c r="LK89" s="215"/>
      <c r="LL89" s="212"/>
      <c r="LM89" s="212"/>
      <c r="LN89" s="212"/>
      <c r="LO89" s="212"/>
      <c r="LP89" s="212"/>
      <c r="LQ89" s="214"/>
      <c r="LR89" s="212"/>
      <c r="LS89" s="212"/>
      <c r="LT89" s="212"/>
      <c r="LU89" s="212"/>
      <c r="LV89" s="212"/>
      <c r="LW89" s="215"/>
      <c r="LX89" s="212"/>
      <c r="LY89" s="212"/>
      <c r="LZ89" s="212"/>
      <c r="MA89" s="212"/>
      <c r="MB89" s="212"/>
      <c r="MC89" s="214"/>
      <c r="MD89" s="212"/>
      <c r="ME89" s="212"/>
      <c r="MF89" s="212"/>
      <c r="MG89" s="212"/>
      <c r="MH89" s="212"/>
      <c r="MI89" s="215"/>
      <c r="MJ89" s="212"/>
      <c r="MK89" s="212"/>
      <c r="ML89" s="212"/>
      <c r="MM89" s="212"/>
      <c r="MN89" s="212"/>
      <c r="MO89" s="214"/>
      <c r="MP89" s="212"/>
      <c r="MQ89" s="212"/>
      <c r="MR89" s="212"/>
      <c r="MS89" s="212"/>
      <c r="MT89" s="212"/>
      <c r="MU89" s="215"/>
      <c r="MV89" s="212"/>
      <c r="MW89" s="212"/>
      <c r="MX89" s="212"/>
      <c r="MY89" s="212"/>
      <c r="MZ89" s="212"/>
      <c r="NA89" s="216"/>
      <c r="NB89" s="211"/>
      <c r="NC89" s="212"/>
      <c r="ND89" s="212"/>
      <c r="NE89" s="212"/>
      <c r="NF89" s="212"/>
      <c r="NG89" s="213"/>
      <c r="NH89" s="212"/>
      <c r="NI89" s="212"/>
      <c r="NJ89" s="212"/>
      <c r="NK89" s="212"/>
      <c r="NL89" s="212"/>
      <c r="NM89" s="214"/>
      <c r="NN89" s="212"/>
      <c r="NO89" s="212"/>
      <c r="NP89" s="212"/>
      <c r="NQ89" s="212"/>
      <c r="NR89" s="212"/>
      <c r="NS89" s="215"/>
      <c r="NT89" s="212"/>
      <c r="NU89" s="212"/>
      <c r="NV89" s="212"/>
      <c r="NW89" s="212"/>
      <c r="NX89" s="212"/>
      <c r="NY89" s="214"/>
      <c r="NZ89" s="212"/>
      <c r="OA89" s="212"/>
      <c r="OB89" s="212"/>
      <c r="OC89" s="212"/>
      <c r="OD89" s="212"/>
      <c r="OE89" s="215"/>
      <c r="OF89" s="212"/>
      <c r="OG89" s="212"/>
      <c r="OH89" s="212"/>
      <c r="OI89" s="212"/>
      <c r="OJ89" s="212"/>
      <c r="OK89" s="214"/>
      <c r="OL89" s="212"/>
      <c r="OM89" s="212"/>
      <c r="ON89" s="212"/>
      <c r="OO89" s="212"/>
      <c r="OP89" s="212"/>
      <c r="OQ89" s="215"/>
      <c r="OR89" s="212"/>
      <c r="OS89" s="212"/>
      <c r="OT89" s="212"/>
      <c r="OU89" s="212"/>
      <c r="OV89" s="212"/>
      <c r="OW89" s="214"/>
      <c r="OX89" s="212"/>
      <c r="OY89" s="212"/>
      <c r="OZ89" s="212"/>
      <c r="PA89" s="212"/>
      <c r="PB89" s="212"/>
      <c r="PC89" s="215"/>
      <c r="PD89" s="212"/>
      <c r="PE89" s="212"/>
      <c r="PF89" s="212"/>
      <c r="PG89" s="212"/>
      <c r="PH89" s="212"/>
      <c r="PI89" s="216"/>
      <c r="PJ89" s="211"/>
      <c r="PK89" s="212"/>
      <c r="PL89" s="212"/>
      <c r="PM89" s="212"/>
      <c r="PN89" s="212"/>
      <c r="PO89" s="213"/>
      <c r="PP89" s="212"/>
      <c r="PQ89" s="212"/>
      <c r="PR89" s="212"/>
      <c r="PS89" s="212"/>
      <c r="PT89" s="212"/>
      <c r="PU89" s="214"/>
      <c r="PV89" s="212"/>
      <c r="PW89" s="212"/>
      <c r="PX89" s="212"/>
      <c r="PY89" s="212"/>
      <c r="PZ89" s="212"/>
      <c r="QA89" s="215"/>
      <c r="QB89" s="212"/>
      <c r="QC89" s="212"/>
      <c r="QD89" s="212"/>
      <c r="QE89" s="212"/>
      <c r="QF89" s="212"/>
      <c r="QG89" s="214"/>
      <c r="QH89" s="212"/>
      <c r="QI89" s="212"/>
      <c r="QJ89" s="212"/>
      <c r="QK89" s="212"/>
      <c r="QL89" s="212"/>
      <c r="QM89" s="215"/>
      <c r="QN89" s="212"/>
      <c r="QO89" s="212"/>
      <c r="QP89" s="212"/>
      <c r="QQ89" s="212"/>
      <c r="QR89" s="212"/>
      <c r="QS89" s="214"/>
      <c r="QT89" s="212"/>
      <c r="QU89" s="212"/>
      <c r="QV89" s="212"/>
      <c r="QW89" s="212"/>
      <c r="QX89" s="212"/>
      <c r="QY89" s="215"/>
      <c r="QZ89" s="212"/>
      <c r="RA89" s="212"/>
      <c r="RB89" s="212"/>
      <c r="RC89" s="212"/>
      <c r="RD89" s="212"/>
      <c r="RE89" s="214"/>
      <c r="RF89" s="212"/>
      <c r="RG89" s="212"/>
      <c r="RH89" s="212"/>
      <c r="RI89" s="212"/>
      <c r="RJ89" s="212"/>
      <c r="RK89" s="215"/>
      <c r="RL89" s="212"/>
      <c r="RM89" s="212"/>
      <c r="RN89" s="212"/>
      <c r="RO89" s="212"/>
      <c r="RP89" s="212"/>
      <c r="RQ89" s="216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73"/>
    </row>
    <row r="90" spans="1:1326" ht="20.100000000000001" customHeight="1" x14ac:dyDescent="0.3">
      <c r="A90" s="78" t="s">
        <v>27</v>
      </c>
      <c r="B90" s="51"/>
      <c r="C90" s="164"/>
      <c r="D90" s="121" t="str">
        <f t="shared" si="1"/>
        <v>90h</v>
      </c>
      <c r="E90" s="30">
        <v>1080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73"/>
    </row>
    <row r="91" spans="1:1326" ht="20.100000000000001" customHeight="1" x14ac:dyDescent="0.25">
      <c r="A91" s="78" t="s">
        <v>26</v>
      </c>
      <c r="B91" s="51"/>
      <c r="C91" s="163"/>
      <c r="D91" s="119" t="str">
        <f t="shared" si="1"/>
        <v>90h</v>
      </c>
      <c r="E91" s="26">
        <v>1080</v>
      </c>
      <c r="F91" s="217"/>
      <c r="G91" s="218"/>
      <c r="H91" s="218"/>
      <c r="I91" s="218"/>
      <c r="J91" s="218"/>
      <c r="K91" s="219"/>
      <c r="L91" s="218"/>
      <c r="M91" s="218"/>
      <c r="N91" s="218"/>
      <c r="O91" s="218"/>
      <c r="P91" s="218"/>
      <c r="Q91" s="220"/>
      <c r="R91" s="218"/>
      <c r="S91" s="218"/>
      <c r="T91" s="218"/>
      <c r="U91" s="218"/>
      <c r="V91" s="218"/>
      <c r="W91" s="221"/>
      <c r="X91" s="218"/>
      <c r="Y91" s="218"/>
      <c r="Z91" s="218"/>
      <c r="AA91" s="218"/>
      <c r="AB91" s="218"/>
      <c r="AC91" s="220"/>
      <c r="AD91" s="218"/>
      <c r="AE91" s="218"/>
      <c r="AF91" s="218"/>
      <c r="AG91" s="218"/>
      <c r="AH91" s="218"/>
      <c r="AI91" s="221"/>
      <c r="AJ91" s="218"/>
      <c r="AK91" s="218"/>
      <c r="AL91" s="218"/>
      <c r="AM91" s="218"/>
      <c r="AN91" s="218"/>
      <c r="AO91" s="220"/>
      <c r="AP91" s="218"/>
      <c r="AQ91" s="218"/>
      <c r="AR91" s="218"/>
      <c r="AS91" s="218"/>
      <c r="AT91" s="218"/>
      <c r="AU91" s="221"/>
      <c r="AV91" s="218"/>
      <c r="AW91" s="218"/>
      <c r="AX91" s="218"/>
      <c r="AY91" s="218"/>
      <c r="AZ91" s="218"/>
      <c r="BA91" s="220"/>
      <c r="BB91" s="218"/>
      <c r="BC91" s="218"/>
      <c r="BD91" s="218"/>
      <c r="BE91" s="218"/>
      <c r="BF91" s="218"/>
      <c r="BG91" s="221"/>
      <c r="BH91" s="218"/>
      <c r="BI91" s="218"/>
      <c r="BJ91" s="218"/>
      <c r="BK91" s="218"/>
      <c r="BL91" s="218"/>
      <c r="BM91" s="222"/>
      <c r="BN91" s="217"/>
      <c r="BO91" s="218"/>
      <c r="BP91" s="218"/>
      <c r="BQ91" s="218"/>
      <c r="BR91" s="218"/>
      <c r="BS91" s="219"/>
      <c r="BT91" s="218"/>
      <c r="BU91" s="218"/>
      <c r="BV91" s="218"/>
      <c r="BW91" s="218"/>
      <c r="BX91" s="218"/>
      <c r="BY91" s="220"/>
      <c r="BZ91" s="218"/>
      <c r="CA91" s="218"/>
      <c r="CB91" s="218"/>
      <c r="CC91" s="218"/>
      <c r="CD91" s="218"/>
      <c r="CE91" s="221"/>
      <c r="CF91" s="218"/>
      <c r="CG91" s="218"/>
      <c r="CH91" s="218"/>
      <c r="CI91" s="218"/>
      <c r="CJ91" s="218"/>
      <c r="CK91" s="220"/>
      <c r="CL91" s="218"/>
      <c r="CM91" s="218"/>
      <c r="CN91" s="218"/>
      <c r="CO91" s="218"/>
      <c r="CP91" s="218"/>
      <c r="CQ91" s="221"/>
      <c r="CR91" s="218"/>
      <c r="CS91" s="218"/>
      <c r="CT91" s="218"/>
      <c r="CU91" s="218"/>
      <c r="CV91" s="218"/>
      <c r="CW91" s="220"/>
      <c r="CX91" s="218"/>
      <c r="CY91" s="218"/>
      <c r="CZ91" s="218"/>
      <c r="DA91" s="218"/>
      <c r="DB91" s="218"/>
      <c r="DC91" s="221"/>
      <c r="DD91" s="218"/>
      <c r="DE91" s="218"/>
      <c r="DF91" s="218"/>
      <c r="DG91" s="218"/>
      <c r="DH91" s="218"/>
      <c r="DI91" s="220"/>
      <c r="DJ91" s="218"/>
      <c r="DK91" s="218"/>
      <c r="DL91" s="218"/>
      <c r="DM91" s="218"/>
      <c r="DN91" s="218"/>
      <c r="DO91" s="221"/>
      <c r="DP91" s="218"/>
      <c r="DQ91" s="218"/>
      <c r="DR91" s="218"/>
      <c r="DS91" s="218"/>
      <c r="DT91" s="218"/>
      <c r="DU91" s="222"/>
      <c r="DV91" s="217"/>
      <c r="DW91" s="218"/>
      <c r="DX91" s="218"/>
      <c r="DY91" s="218"/>
      <c r="DZ91" s="218"/>
      <c r="EA91" s="219"/>
      <c r="EB91" s="218"/>
      <c r="EC91" s="218"/>
      <c r="ED91" s="218"/>
      <c r="EE91" s="218"/>
      <c r="EF91" s="218"/>
      <c r="EG91" s="220"/>
      <c r="EH91" s="218"/>
      <c r="EI91" s="218"/>
      <c r="EJ91" s="218"/>
      <c r="EK91" s="218"/>
      <c r="EL91" s="218"/>
      <c r="EM91" s="221"/>
      <c r="EN91" s="218"/>
      <c r="EO91" s="218"/>
      <c r="EP91" s="218"/>
      <c r="EQ91" s="218"/>
      <c r="ER91" s="218"/>
      <c r="ES91" s="220"/>
      <c r="ET91" s="218"/>
      <c r="EU91" s="218"/>
      <c r="EV91" s="218"/>
      <c r="EW91" s="218"/>
      <c r="EX91" s="218"/>
      <c r="EY91" s="221"/>
      <c r="EZ91" s="218"/>
      <c r="FA91" s="218"/>
      <c r="FB91" s="218"/>
      <c r="FC91" s="218"/>
      <c r="FD91" s="218"/>
      <c r="FE91" s="220"/>
      <c r="FF91" s="218"/>
      <c r="FG91" s="218"/>
      <c r="FH91" s="218"/>
      <c r="FI91" s="218"/>
      <c r="FJ91" s="218"/>
      <c r="FK91" s="221"/>
      <c r="FL91" s="218"/>
      <c r="FM91" s="218"/>
      <c r="FN91" s="218"/>
      <c r="FO91" s="218"/>
      <c r="FP91" s="218"/>
      <c r="FQ91" s="220"/>
      <c r="FR91" s="218"/>
      <c r="FS91" s="218"/>
      <c r="FT91" s="218"/>
      <c r="FU91" s="218"/>
      <c r="FV91" s="218"/>
      <c r="FW91" s="221"/>
      <c r="FX91" s="218"/>
      <c r="FY91" s="218"/>
      <c r="FZ91" s="218"/>
      <c r="GA91" s="218"/>
      <c r="GB91" s="218"/>
      <c r="GC91" s="222"/>
      <c r="GD91" s="217"/>
      <c r="GE91" s="218"/>
      <c r="GF91" s="218"/>
      <c r="GG91" s="218"/>
      <c r="GH91" s="218"/>
      <c r="GI91" s="219"/>
      <c r="GJ91" s="218"/>
      <c r="GK91" s="218"/>
      <c r="GL91" s="218"/>
      <c r="GM91" s="218"/>
      <c r="GN91" s="218"/>
      <c r="GO91" s="220"/>
      <c r="GP91" s="218"/>
      <c r="GQ91" s="218"/>
      <c r="GR91" s="218"/>
      <c r="GS91" s="218"/>
      <c r="GT91" s="218"/>
      <c r="GU91" s="221"/>
      <c r="GV91" s="218"/>
      <c r="GW91" s="218"/>
      <c r="GX91" s="218"/>
      <c r="GY91" s="218"/>
      <c r="GZ91" s="218"/>
      <c r="HA91" s="220"/>
      <c r="HB91" s="218"/>
      <c r="HC91" s="218"/>
      <c r="HD91" s="218"/>
      <c r="HE91" s="218"/>
      <c r="HF91" s="218"/>
      <c r="HG91" s="221"/>
      <c r="HH91" s="218"/>
      <c r="HI91" s="218"/>
      <c r="HJ91" s="218"/>
      <c r="HK91" s="218"/>
      <c r="HL91" s="218"/>
      <c r="HM91" s="220"/>
      <c r="HN91" s="218"/>
      <c r="HO91" s="218"/>
      <c r="HP91" s="218"/>
      <c r="HQ91" s="218"/>
      <c r="HR91" s="218"/>
      <c r="HS91" s="221"/>
      <c r="HT91" s="218"/>
      <c r="HU91" s="218"/>
      <c r="HV91" s="218"/>
      <c r="HW91" s="218"/>
      <c r="HX91" s="218"/>
      <c r="HY91" s="220"/>
      <c r="HZ91" s="218"/>
      <c r="IA91" s="218"/>
      <c r="IB91" s="218"/>
      <c r="IC91" s="218"/>
      <c r="ID91" s="218"/>
      <c r="IE91" s="221"/>
      <c r="IF91" s="218"/>
      <c r="IG91" s="218"/>
      <c r="IH91" s="218"/>
      <c r="II91" s="218"/>
      <c r="IJ91" s="218"/>
      <c r="IK91" s="222"/>
      <c r="IL91" s="217"/>
      <c r="IM91" s="218"/>
      <c r="IN91" s="218"/>
      <c r="IO91" s="218"/>
      <c r="IP91" s="218"/>
      <c r="IQ91" s="219"/>
      <c r="IR91" s="218"/>
      <c r="IS91" s="218"/>
      <c r="IT91" s="218"/>
      <c r="IU91" s="218"/>
      <c r="IV91" s="218"/>
      <c r="IW91" s="220"/>
      <c r="IX91" s="218"/>
      <c r="IY91" s="218"/>
      <c r="IZ91" s="218"/>
      <c r="JA91" s="218"/>
      <c r="JB91" s="218"/>
      <c r="JC91" s="221"/>
      <c r="JD91" s="218"/>
      <c r="JE91" s="218"/>
      <c r="JF91" s="218"/>
      <c r="JG91" s="218"/>
      <c r="JH91" s="218"/>
      <c r="JI91" s="220"/>
      <c r="JJ91" s="218"/>
      <c r="JK91" s="218"/>
      <c r="JL91" s="218"/>
      <c r="JM91" s="218"/>
      <c r="JN91" s="218"/>
      <c r="JO91" s="221"/>
      <c r="JP91" s="218"/>
      <c r="JQ91" s="218"/>
      <c r="JR91" s="218"/>
      <c r="JS91" s="218"/>
      <c r="JT91" s="218"/>
      <c r="JU91" s="220"/>
      <c r="JV91" s="218"/>
      <c r="JW91" s="218"/>
      <c r="JX91" s="218"/>
      <c r="JY91" s="218"/>
      <c r="JZ91" s="218"/>
      <c r="KA91" s="221"/>
      <c r="KB91" s="218"/>
      <c r="KC91" s="218"/>
      <c r="KD91" s="218"/>
      <c r="KE91" s="218"/>
      <c r="KF91" s="218"/>
      <c r="KG91" s="220"/>
      <c r="KH91" s="218"/>
      <c r="KI91" s="218"/>
      <c r="KJ91" s="218"/>
      <c r="KK91" s="218"/>
      <c r="KL91" s="218"/>
      <c r="KM91" s="221"/>
      <c r="KN91" s="218"/>
      <c r="KO91" s="218"/>
      <c r="KP91" s="218"/>
      <c r="KQ91" s="218"/>
      <c r="KR91" s="218"/>
      <c r="KS91" s="222"/>
      <c r="KT91" s="217"/>
      <c r="KU91" s="218"/>
      <c r="KV91" s="218"/>
      <c r="KW91" s="218"/>
      <c r="KX91" s="218"/>
      <c r="KY91" s="219"/>
      <c r="KZ91" s="218"/>
      <c r="LA91" s="218"/>
      <c r="LB91" s="218"/>
      <c r="LC91" s="218"/>
      <c r="LD91" s="218"/>
      <c r="LE91" s="220"/>
      <c r="LF91" s="218"/>
      <c r="LG91" s="218"/>
      <c r="LH91" s="218"/>
      <c r="LI91" s="218"/>
      <c r="LJ91" s="218"/>
      <c r="LK91" s="221"/>
      <c r="LL91" s="218"/>
      <c r="LM91" s="218"/>
      <c r="LN91" s="218"/>
      <c r="LO91" s="218"/>
      <c r="LP91" s="218"/>
      <c r="LQ91" s="220"/>
      <c r="LR91" s="218"/>
      <c r="LS91" s="218"/>
      <c r="LT91" s="218"/>
      <c r="LU91" s="218"/>
      <c r="LV91" s="218"/>
      <c r="LW91" s="221"/>
      <c r="LX91" s="218"/>
      <c r="LY91" s="218"/>
      <c r="LZ91" s="218"/>
      <c r="MA91" s="218"/>
      <c r="MB91" s="218"/>
      <c r="MC91" s="220"/>
      <c r="MD91" s="218"/>
      <c r="ME91" s="218"/>
      <c r="MF91" s="218"/>
      <c r="MG91" s="218"/>
      <c r="MH91" s="218"/>
      <c r="MI91" s="221"/>
      <c r="MJ91" s="218"/>
      <c r="MK91" s="218"/>
      <c r="ML91" s="218"/>
      <c r="MM91" s="218"/>
      <c r="MN91" s="218"/>
      <c r="MO91" s="220"/>
      <c r="MP91" s="218"/>
      <c r="MQ91" s="218"/>
      <c r="MR91" s="218"/>
      <c r="MS91" s="218"/>
      <c r="MT91" s="218"/>
      <c r="MU91" s="221"/>
      <c r="MV91" s="218"/>
      <c r="MW91" s="218"/>
      <c r="MX91" s="218"/>
      <c r="MY91" s="218"/>
      <c r="MZ91" s="218"/>
      <c r="NA91" s="222"/>
      <c r="NB91" s="217"/>
      <c r="NC91" s="218"/>
      <c r="ND91" s="218"/>
      <c r="NE91" s="218"/>
      <c r="NF91" s="218"/>
      <c r="NG91" s="219"/>
      <c r="NH91" s="218"/>
      <c r="NI91" s="218"/>
      <c r="NJ91" s="218"/>
      <c r="NK91" s="218"/>
      <c r="NL91" s="218"/>
      <c r="NM91" s="220"/>
      <c r="NN91" s="218"/>
      <c r="NO91" s="218"/>
      <c r="NP91" s="218"/>
      <c r="NQ91" s="218"/>
      <c r="NR91" s="218"/>
      <c r="NS91" s="221"/>
      <c r="NT91" s="218"/>
      <c r="NU91" s="218"/>
      <c r="NV91" s="218"/>
      <c r="NW91" s="218"/>
      <c r="NX91" s="218"/>
      <c r="NY91" s="220"/>
      <c r="NZ91" s="218"/>
      <c r="OA91" s="218"/>
      <c r="OB91" s="218"/>
      <c r="OC91" s="218"/>
      <c r="OD91" s="218"/>
      <c r="OE91" s="221"/>
      <c r="OF91" s="218"/>
      <c r="OG91" s="218"/>
      <c r="OH91" s="218"/>
      <c r="OI91" s="218"/>
      <c r="OJ91" s="218"/>
      <c r="OK91" s="220"/>
      <c r="OL91" s="218"/>
      <c r="OM91" s="218"/>
      <c r="ON91" s="218"/>
      <c r="OO91" s="218"/>
      <c r="OP91" s="218"/>
      <c r="OQ91" s="221"/>
      <c r="OR91" s="218"/>
      <c r="OS91" s="218"/>
      <c r="OT91" s="218"/>
      <c r="OU91" s="218"/>
      <c r="OV91" s="218"/>
      <c r="OW91" s="220"/>
      <c r="OX91" s="218"/>
      <c r="OY91" s="218"/>
      <c r="OZ91" s="218"/>
      <c r="PA91" s="218"/>
      <c r="PB91" s="218"/>
      <c r="PC91" s="221"/>
      <c r="PD91" s="218"/>
      <c r="PE91" s="218"/>
      <c r="PF91" s="218"/>
      <c r="PG91" s="218"/>
      <c r="PH91" s="218"/>
      <c r="PI91" s="222"/>
      <c r="PJ91" s="217"/>
      <c r="PK91" s="218"/>
      <c r="PL91" s="218"/>
      <c r="PM91" s="218"/>
      <c r="PN91" s="218"/>
      <c r="PO91" s="219"/>
      <c r="PP91" s="218"/>
      <c r="PQ91" s="218"/>
      <c r="PR91" s="218"/>
      <c r="PS91" s="218"/>
      <c r="PT91" s="218"/>
      <c r="PU91" s="220"/>
      <c r="PV91" s="218"/>
      <c r="PW91" s="218"/>
      <c r="PX91" s="218"/>
      <c r="PY91" s="218"/>
      <c r="PZ91" s="218"/>
      <c r="QA91" s="221"/>
      <c r="QB91" s="218"/>
      <c r="QC91" s="218"/>
      <c r="QD91" s="218"/>
      <c r="QE91" s="218"/>
      <c r="QF91" s="218"/>
      <c r="QG91" s="220"/>
      <c r="QH91" s="218"/>
      <c r="QI91" s="218"/>
      <c r="QJ91" s="218"/>
      <c r="QK91" s="218"/>
      <c r="QL91" s="218"/>
      <c r="QM91" s="221"/>
      <c r="QN91" s="218"/>
      <c r="QO91" s="218"/>
      <c r="QP91" s="218"/>
      <c r="QQ91" s="218"/>
      <c r="QR91" s="218"/>
      <c r="QS91" s="220"/>
      <c r="QT91" s="218"/>
      <c r="QU91" s="218"/>
      <c r="QV91" s="218"/>
      <c r="QW91" s="218"/>
      <c r="QX91" s="218"/>
      <c r="QY91" s="221"/>
      <c r="QZ91" s="218"/>
      <c r="RA91" s="218"/>
      <c r="RB91" s="218"/>
      <c r="RC91" s="218"/>
      <c r="RD91" s="218"/>
      <c r="RE91" s="220"/>
      <c r="RF91" s="218"/>
      <c r="RG91" s="218"/>
      <c r="RH91" s="218"/>
      <c r="RI91" s="218"/>
      <c r="RJ91" s="218"/>
      <c r="RK91" s="221"/>
      <c r="RL91" s="218"/>
      <c r="RM91" s="218"/>
      <c r="RN91" s="218"/>
      <c r="RO91" s="218"/>
      <c r="RP91" s="218"/>
      <c r="RQ91" s="222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73"/>
    </row>
    <row r="92" spans="1:1326" ht="20.100000000000001" customHeight="1" x14ac:dyDescent="0.3">
      <c r="A92" s="78" t="s">
        <v>27</v>
      </c>
      <c r="B92" s="51"/>
      <c r="C92" s="164"/>
      <c r="D92" s="121" t="str">
        <f t="shared" si="1"/>
        <v>90h</v>
      </c>
      <c r="E92" s="30">
        <v>1080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73"/>
    </row>
    <row r="93" spans="1:1326" ht="20.100000000000001" customHeight="1" x14ac:dyDescent="0.25">
      <c r="A93" s="78" t="s">
        <v>26</v>
      </c>
      <c r="B93" s="51"/>
      <c r="C93" s="163"/>
      <c r="D93" s="119" t="str">
        <f t="shared" si="1"/>
        <v>90h</v>
      </c>
      <c r="E93" s="34">
        <v>1080</v>
      </c>
      <c r="F93" s="211"/>
      <c r="G93" s="212"/>
      <c r="H93" s="212"/>
      <c r="I93" s="212"/>
      <c r="J93" s="212"/>
      <c r="K93" s="213"/>
      <c r="L93" s="212"/>
      <c r="M93" s="212"/>
      <c r="N93" s="212"/>
      <c r="O93" s="212"/>
      <c r="P93" s="212"/>
      <c r="Q93" s="214"/>
      <c r="R93" s="212"/>
      <c r="S93" s="212"/>
      <c r="T93" s="212"/>
      <c r="U93" s="212"/>
      <c r="V93" s="212"/>
      <c r="W93" s="215"/>
      <c r="X93" s="212"/>
      <c r="Y93" s="212"/>
      <c r="Z93" s="212"/>
      <c r="AA93" s="212"/>
      <c r="AB93" s="212"/>
      <c r="AC93" s="214"/>
      <c r="AD93" s="212"/>
      <c r="AE93" s="212"/>
      <c r="AF93" s="212"/>
      <c r="AG93" s="212"/>
      <c r="AH93" s="212"/>
      <c r="AI93" s="215"/>
      <c r="AJ93" s="212"/>
      <c r="AK93" s="212"/>
      <c r="AL93" s="212"/>
      <c r="AM93" s="212"/>
      <c r="AN93" s="212"/>
      <c r="AO93" s="214"/>
      <c r="AP93" s="212"/>
      <c r="AQ93" s="212"/>
      <c r="AR93" s="212"/>
      <c r="AS93" s="212"/>
      <c r="AT93" s="212"/>
      <c r="AU93" s="215"/>
      <c r="AV93" s="212"/>
      <c r="AW93" s="212"/>
      <c r="AX93" s="212"/>
      <c r="AY93" s="212"/>
      <c r="AZ93" s="212"/>
      <c r="BA93" s="214"/>
      <c r="BB93" s="212"/>
      <c r="BC93" s="212"/>
      <c r="BD93" s="212"/>
      <c r="BE93" s="212"/>
      <c r="BF93" s="212"/>
      <c r="BG93" s="215"/>
      <c r="BH93" s="212"/>
      <c r="BI93" s="212"/>
      <c r="BJ93" s="212"/>
      <c r="BK93" s="212"/>
      <c r="BL93" s="212"/>
      <c r="BM93" s="216"/>
      <c r="BN93" s="211"/>
      <c r="BO93" s="212"/>
      <c r="BP93" s="212"/>
      <c r="BQ93" s="212"/>
      <c r="BR93" s="212"/>
      <c r="BS93" s="213"/>
      <c r="BT93" s="212"/>
      <c r="BU93" s="212"/>
      <c r="BV93" s="212"/>
      <c r="BW93" s="212"/>
      <c r="BX93" s="212"/>
      <c r="BY93" s="214"/>
      <c r="BZ93" s="212"/>
      <c r="CA93" s="212"/>
      <c r="CB93" s="212"/>
      <c r="CC93" s="212"/>
      <c r="CD93" s="212"/>
      <c r="CE93" s="215"/>
      <c r="CF93" s="212"/>
      <c r="CG93" s="212"/>
      <c r="CH93" s="212"/>
      <c r="CI93" s="212"/>
      <c r="CJ93" s="212"/>
      <c r="CK93" s="214"/>
      <c r="CL93" s="212"/>
      <c r="CM93" s="212"/>
      <c r="CN93" s="212"/>
      <c r="CO93" s="212"/>
      <c r="CP93" s="212"/>
      <c r="CQ93" s="215"/>
      <c r="CR93" s="212"/>
      <c r="CS93" s="212"/>
      <c r="CT93" s="212"/>
      <c r="CU93" s="212"/>
      <c r="CV93" s="212"/>
      <c r="CW93" s="214"/>
      <c r="CX93" s="212"/>
      <c r="CY93" s="212"/>
      <c r="CZ93" s="212"/>
      <c r="DA93" s="212"/>
      <c r="DB93" s="212"/>
      <c r="DC93" s="215"/>
      <c r="DD93" s="212"/>
      <c r="DE93" s="212"/>
      <c r="DF93" s="212"/>
      <c r="DG93" s="212"/>
      <c r="DH93" s="212"/>
      <c r="DI93" s="214"/>
      <c r="DJ93" s="212"/>
      <c r="DK93" s="212"/>
      <c r="DL93" s="212"/>
      <c r="DM93" s="212"/>
      <c r="DN93" s="212"/>
      <c r="DO93" s="215"/>
      <c r="DP93" s="212"/>
      <c r="DQ93" s="212"/>
      <c r="DR93" s="212"/>
      <c r="DS93" s="212"/>
      <c r="DT93" s="212"/>
      <c r="DU93" s="216"/>
      <c r="DV93" s="211"/>
      <c r="DW93" s="212"/>
      <c r="DX93" s="212"/>
      <c r="DY93" s="212"/>
      <c r="DZ93" s="212"/>
      <c r="EA93" s="213"/>
      <c r="EB93" s="212"/>
      <c r="EC93" s="212"/>
      <c r="ED93" s="212"/>
      <c r="EE93" s="212"/>
      <c r="EF93" s="212"/>
      <c r="EG93" s="214"/>
      <c r="EH93" s="212"/>
      <c r="EI93" s="212"/>
      <c r="EJ93" s="212"/>
      <c r="EK93" s="212"/>
      <c r="EL93" s="212"/>
      <c r="EM93" s="215"/>
      <c r="EN93" s="212"/>
      <c r="EO93" s="212"/>
      <c r="EP93" s="212"/>
      <c r="EQ93" s="212"/>
      <c r="ER93" s="212"/>
      <c r="ES93" s="214"/>
      <c r="ET93" s="212"/>
      <c r="EU93" s="212"/>
      <c r="EV93" s="212"/>
      <c r="EW93" s="212"/>
      <c r="EX93" s="212"/>
      <c r="EY93" s="215"/>
      <c r="EZ93" s="212"/>
      <c r="FA93" s="212"/>
      <c r="FB93" s="212"/>
      <c r="FC93" s="212"/>
      <c r="FD93" s="212"/>
      <c r="FE93" s="214"/>
      <c r="FF93" s="212"/>
      <c r="FG93" s="212"/>
      <c r="FH93" s="212"/>
      <c r="FI93" s="212"/>
      <c r="FJ93" s="212"/>
      <c r="FK93" s="215"/>
      <c r="FL93" s="212"/>
      <c r="FM93" s="212"/>
      <c r="FN93" s="212"/>
      <c r="FO93" s="212"/>
      <c r="FP93" s="212"/>
      <c r="FQ93" s="214"/>
      <c r="FR93" s="212"/>
      <c r="FS93" s="212"/>
      <c r="FT93" s="212"/>
      <c r="FU93" s="212"/>
      <c r="FV93" s="212"/>
      <c r="FW93" s="215"/>
      <c r="FX93" s="212"/>
      <c r="FY93" s="212"/>
      <c r="FZ93" s="212"/>
      <c r="GA93" s="212"/>
      <c r="GB93" s="212"/>
      <c r="GC93" s="216"/>
      <c r="GD93" s="211"/>
      <c r="GE93" s="212"/>
      <c r="GF93" s="212"/>
      <c r="GG93" s="212"/>
      <c r="GH93" s="212"/>
      <c r="GI93" s="213"/>
      <c r="GJ93" s="212"/>
      <c r="GK93" s="212"/>
      <c r="GL93" s="212"/>
      <c r="GM93" s="212"/>
      <c r="GN93" s="212"/>
      <c r="GO93" s="214"/>
      <c r="GP93" s="212"/>
      <c r="GQ93" s="212"/>
      <c r="GR93" s="212"/>
      <c r="GS93" s="212"/>
      <c r="GT93" s="212"/>
      <c r="GU93" s="215"/>
      <c r="GV93" s="212"/>
      <c r="GW93" s="212"/>
      <c r="GX93" s="212"/>
      <c r="GY93" s="212"/>
      <c r="GZ93" s="212"/>
      <c r="HA93" s="214"/>
      <c r="HB93" s="212"/>
      <c r="HC93" s="212"/>
      <c r="HD93" s="212"/>
      <c r="HE93" s="212"/>
      <c r="HF93" s="212"/>
      <c r="HG93" s="215"/>
      <c r="HH93" s="212"/>
      <c r="HI93" s="212"/>
      <c r="HJ93" s="212"/>
      <c r="HK93" s="212"/>
      <c r="HL93" s="212"/>
      <c r="HM93" s="214"/>
      <c r="HN93" s="212"/>
      <c r="HO93" s="212"/>
      <c r="HP93" s="212"/>
      <c r="HQ93" s="212"/>
      <c r="HR93" s="212"/>
      <c r="HS93" s="215"/>
      <c r="HT93" s="212"/>
      <c r="HU93" s="212"/>
      <c r="HV93" s="212"/>
      <c r="HW93" s="212"/>
      <c r="HX93" s="212"/>
      <c r="HY93" s="214"/>
      <c r="HZ93" s="212"/>
      <c r="IA93" s="212"/>
      <c r="IB93" s="212"/>
      <c r="IC93" s="212"/>
      <c r="ID93" s="212"/>
      <c r="IE93" s="215"/>
      <c r="IF93" s="212"/>
      <c r="IG93" s="212"/>
      <c r="IH93" s="212"/>
      <c r="II93" s="212"/>
      <c r="IJ93" s="212"/>
      <c r="IK93" s="216"/>
      <c r="IL93" s="211"/>
      <c r="IM93" s="212"/>
      <c r="IN93" s="212"/>
      <c r="IO93" s="212"/>
      <c r="IP93" s="212"/>
      <c r="IQ93" s="213"/>
      <c r="IR93" s="212"/>
      <c r="IS93" s="212"/>
      <c r="IT93" s="212"/>
      <c r="IU93" s="212"/>
      <c r="IV93" s="212"/>
      <c r="IW93" s="214"/>
      <c r="IX93" s="212"/>
      <c r="IY93" s="212"/>
      <c r="IZ93" s="212"/>
      <c r="JA93" s="212"/>
      <c r="JB93" s="212"/>
      <c r="JC93" s="215"/>
      <c r="JD93" s="212"/>
      <c r="JE93" s="212"/>
      <c r="JF93" s="212"/>
      <c r="JG93" s="212"/>
      <c r="JH93" s="212"/>
      <c r="JI93" s="214"/>
      <c r="JJ93" s="212"/>
      <c r="JK93" s="212"/>
      <c r="JL93" s="212"/>
      <c r="JM93" s="212"/>
      <c r="JN93" s="212"/>
      <c r="JO93" s="215"/>
      <c r="JP93" s="212"/>
      <c r="JQ93" s="212"/>
      <c r="JR93" s="212"/>
      <c r="JS93" s="212"/>
      <c r="JT93" s="212"/>
      <c r="JU93" s="214"/>
      <c r="JV93" s="212"/>
      <c r="JW93" s="212"/>
      <c r="JX93" s="212"/>
      <c r="JY93" s="212"/>
      <c r="JZ93" s="212"/>
      <c r="KA93" s="215"/>
      <c r="KB93" s="212"/>
      <c r="KC93" s="212"/>
      <c r="KD93" s="212"/>
      <c r="KE93" s="212"/>
      <c r="KF93" s="212"/>
      <c r="KG93" s="214"/>
      <c r="KH93" s="212"/>
      <c r="KI93" s="212"/>
      <c r="KJ93" s="212"/>
      <c r="KK93" s="212"/>
      <c r="KL93" s="212"/>
      <c r="KM93" s="215"/>
      <c r="KN93" s="212"/>
      <c r="KO93" s="212"/>
      <c r="KP93" s="212"/>
      <c r="KQ93" s="212"/>
      <c r="KR93" s="212"/>
      <c r="KS93" s="216"/>
      <c r="KT93" s="211"/>
      <c r="KU93" s="212"/>
      <c r="KV93" s="212"/>
      <c r="KW93" s="212"/>
      <c r="KX93" s="212"/>
      <c r="KY93" s="213"/>
      <c r="KZ93" s="212"/>
      <c r="LA93" s="212"/>
      <c r="LB93" s="212"/>
      <c r="LC93" s="212"/>
      <c r="LD93" s="212"/>
      <c r="LE93" s="214"/>
      <c r="LF93" s="212"/>
      <c r="LG93" s="212"/>
      <c r="LH93" s="212"/>
      <c r="LI93" s="212"/>
      <c r="LJ93" s="212"/>
      <c r="LK93" s="215"/>
      <c r="LL93" s="212"/>
      <c r="LM93" s="212"/>
      <c r="LN93" s="212"/>
      <c r="LO93" s="212"/>
      <c r="LP93" s="212"/>
      <c r="LQ93" s="214"/>
      <c r="LR93" s="212"/>
      <c r="LS93" s="212"/>
      <c r="LT93" s="212"/>
      <c r="LU93" s="212"/>
      <c r="LV93" s="212"/>
      <c r="LW93" s="215"/>
      <c r="LX93" s="212"/>
      <c r="LY93" s="212"/>
      <c r="LZ93" s="212"/>
      <c r="MA93" s="212"/>
      <c r="MB93" s="212"/>
      <c r="MC93" s="214"/>
      <c r="MD93" s="212"/>
      <c r="ME93" s="212"/>
      <c r="MF93" s="212"/>
      <c r="MG93" s="212"/>
      <c r="MH93" s="212"/>
      <c r="MI93" s="215"/>
      <c r="MJ93" s="212"/>
      <c r="MK93" s="212"/>
      <c r="ML93" s="212"/>
      <c r="MM93" s="212"/>
      <c r="MN93" s="212"/>
      <c r="MO93" s="214"/>
      <c r="MP93" s="212"/>
      <c r="MQ93" s="212"/>
      <c r="MR93" s="212"/>
      <c r="MS93" s="212"/>
      <c r="MT93" s="212"/>
      <c r="MU93" s="215"/>
      <c r="MV93" s="212"/>
      <c r="MW93" s="212"/>
      <c r="MX93" s="212"/>
      <c r="MY93" s="212"/>
      <c r="MZ93" s="212"/>
      <c r="NA93" s="216"/>
      <c r="NB93" s="211"/>
      <c r="NC93" s="212"/>
      <c r="ND93" s="212"/>
      <c r="NE93" s="212"/>
      <c r="NF93" s="212"/>
      <c r="NG93" s="213"/>
      <c r="NH93" s="212"/>
      <c r="NI93" s="212"/>
      <c r="NJ93" s="212"/>
      <c r="NK93" s="212"/>
      <c r="NL93" s="212"/>
      <c r="NM93" s="214"/>
      <c r="NN93" s="212"/>
      <c r="NO93" s="212"/>
      <c r="NP93" s="212"/>
      <c r="NQ93" s="212"/>
      <c r="NR93" s="212"/>
      <c r="NS93" s="215"/>
      <c r="NT93" s="212"/>
      <c r="NU93" s="212"/>
      <c r="NV93" s="212"/>
      <c r="NW93" s="212"/>
      <c r="NX93" s="212"/>
      <c r="NY93" s="214"/>
      <c r="NZ93" s="212"/>
      <c r="OA93" s="212"/>
      <c r="OB93" s="212"/>
      <c r="OC93" s="212"/>
      <c r="OD93" s="212"/>
      <c r="OE93" s="215"/>
      <c r="OF93" s="212"/>
      <c r="OG93" s="212"/>
      <c r="OH93" s="212"/>
      <c r="OI93" s="212"/>
      <c r="OJ93" s="212"/>
      <c r="OK93" s="214"/>
      <c r="OL93" s="212"/>
      <c r="OM93" s="212"/>
      <c r="ON93" s="212"/>
      <c r="OO93" s="212"/>
      <c r="OP93" s="212"/>
      <c r="OQ93" s="215"/>
      <c r="OR93" s="212"/>
      <c r="OS93" s="212"/>
      <c r="OT93" s="212"/>
      <c r="OU93" s="212"/>
      <c r="OV93" s="212"/>
      <c r="OW93" s="214"/>
      <c r="OX93" s="212"/>
      <c r="OY93" s="212"/>
      <c r="OZ93" s="212"/>
      <c r="PA93" s="212"/>
      <c r="PB93" s="212"/>
      <c r="PC93" s="215"/>
      <c r="PD93" s="212"/>
      <c r="PE93" s="212"/>
      <c r="PF93" s="212"/>
      <c r="PG93" s="212"/>
      <c r="PH93" s="212"/>
      <c r="PI93" s="216"/>
      <c r="PJ93" s="211"/>
      <c r="PK93" s="212"/>
      <c r="PL93" s="212"/>
      <c r="PM93" s="212"/>
      <c r="PN93" s="212"/>
      <c r="PO93" s="213"/>
      <c r="PP93" s="212"/>
      <c r="PQ93" s="212"/>
      <c r="PR93" s="212"/>
      <c r="PS93" s="212"/>
      <c r="PT93" s="212"/>
      <c r="PU93" s="214"/>
      <c r="PV93" s="212"/>
      <c r="PW93" s="212"/>
      <c r="PX93" s="212"/>
      <c r="PY93" s="212"/>
      <c r="PZ93" s="212"/>
      <c r="QA93" s="215"/>
      <c r="QB93" s="212"/>
      <c r="QC93" s="212"/>
      <c r="QD93" s="212"/>
      <c r="QE93" s="212"/>
      <c r="QF93" s="212"/>
      <c r="QG93" s="214"/>
      <c r="QH93" s="212"/>
      <c r="QI93" s="212"/>
      <c r="QJ93" s="212"/>
      <c r="QK93" s="212"/>
      <c r="QL93" s="212"/>
      <c r="QM93" s="215"/>
      <c r="QN93" s="212"/>
      <c r="QO93" s="212"/>
      <c r="QP93" s="212"/>
      <c r="QQ93" s="212"/>
      <c r="QR93" s="212"/>
      <c r="QS93" s="214"/>
      <c r="QT93" s="212"/>
      <c r="QU93" s="212"/>
      <c r="QV93" s="212"/>
      <c r="QW93" s="212"/>
      <c r="QX93" s="212"/>
      <c r="QY93" s="215"/>
      <c r="QZ93" s="212"/>
      <c r="RA93" s="212"/>
      <c r="RB93" s="212"/>
      <c r="RC93" s="212"/>
      <c r="RD93" s="212"/>
      <c r="RE93" s="214"/>
      <c r="RF93" s="212"/>
      <c r="RG93" s="212"/>
      <c r="RH93" s="212"/>
      <c r="RI93" s="212"/>
      <c r="RJ93" s="212"/>
      <c r="RK93" s="215"/>
      <c r="RL93" s="212"/>
      <c r="RM93" s="212"/>
      <c r="RN93" s="212"/>
      <c r="RO93" s="212"/>
      <c r="RP93" s="212"/>
      <c r="RQ93" s="216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73"/>
    </row>
    <row r="94" spans="1:1326" ht="20.100000000000001" customHeight="1" x14ac:dyDescent="0.25">
      <c r="A94" s="78" t="s">
        <v>27</v>
      </c>
      <c r="B94" s="51"/>
      <c r="C94" s="169"/>
      <c r="D94" s="120" t="str">
        <f t="shared" si="1"/>
        <v>90h</v>
      </c>
      <c r="E94" s="22">
        <v>1080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73"/>
    </row>
    <row r="95" spans="1:1326" ht="20.100000000000001" customHeight="1" x14ac:dyDescent="0.25">
      <c r="B95" s="51"/>
      <c r="C95" s="165" t="s">
        <v>31</v>
      </c>
      <c r="D95" s="166"/>
      <c r="E95" s="92">
        <f>SUM(E15,E17,E19,E21,E23,E25,E27,E29,E31,E33,E35,E37,E39,E41,E43,E45,E47,E49,E51,E53,E55,E57,E59,E61,E63,E65,E67,E69,E71,E73,E75,E77,E79,E81,E83,E85,E87,E89,E91,E93)</f>
        <v>43506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73"/>
    </row>
    <row r="96" spans="1:1326" ht="20.100000000000001" customHeight="1" thickBot="1" x14ac:dyDescent="0.3">
      <c r="B96" s="51"/>
      <c r="C96" s="167"/>
      <c r="D96" s="168"/>
      <c r="E96" s="98" t="e">
        <f xml:space="preserve"> setValueToTime(E95)</f>
        <v>#NUM!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73"/>
    </row>
    <row r="97" spans="2:1326" ht="20.100000000000001" customHeight="1" x14ac:dyDescent="0.25">
      <c r="B97" s="51"/>
      <c r="C97" s="157" t="s">
        <v>32</v>
      </c>
      <c r="D97" s="158"/>
      <c r="E97" s="93">
        <f>SUM(E16,E18,E20,E22,E24,E26,E28,E30,E32,E34,E36,E38,E40,E42,E44,E46,E48,E50,E52,E54,E56,E58,E60,E62,E64,E66,E68,E70,E72,E74,E76,E78,E80,E82,E84,E86,E88,E90,E92,E94)</f>
        <v>43200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9"/>
    </row>
    <row r="98" spans="2:1326" ht="20.100000000000001" customHeight="1" thickBot="1" x14ac:dyDescent="0.3">
      <c r="B98" s="51"/>
      <c r="C98" s="159"/>
      <c r="D98" s="160"/>
      <c r="E98" s="97" t="e">
        <f xml:space="preserve"> setValueToTime(E97)</f>
        <v>#NUM!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73"/>
    </row>
    <row r="99" spans="2:13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36"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GH14:GK14"/>
    <mergeCell ref="GN14:GQ14"/>
    <mergeCell ref="GT14:GW14"/>
    <mergeCell ref="GZ14:HC14"/>
    <mergeCell ref="HF14:HI14"/>
    <mergeCell ref="DV12:GC12"/>
    <mergeCell ref="GD10:IK10"/>
    <mergeCell ref="GD11:IK11"/>
    <mergeCell ref="GD12:IK12"/>
    <mergeCell ref="GD13:IK13"/>
    <mergeCell ref="C29:C30"/>
    <mergeCell ref="E13:E14"/>
    <mergeCell ref="C13:C14"/>
    <mergeCell ref="C27:C28"/>
    <mergeCell ref="C25:C26"/>
    <mergeCell ref="C23:C24"/>
    <mergeCell ref="FP14:FS14"/>
    <mergeCell ref="C11:E12"/>
    <mergeCell ref="C15:C16"/>
    <mergeCell ref="C21:C22"/>
    <mergeCell ref="C19:C20"/>
    <mergeCell ref="DB14:DE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63:C64"/>
    <mergeCell ref="C51:C52"/>
    <mergeCell ref="C91:C92"/>
    <mergeCell ref="C49:C50"/>
    <mergeCell ref="C47:C48"/>
    <mergeCell ref="DN14:DQ14"/>
    <mergeCell ref="C41:C42"/>
    <mergeCell ref="C39:C40"/>
    <mergeCell ref="C43:C44"/>
    <mergeCell ref="C31:C32"/>
    <mergeCell ref="C79:C80"/>
    <mergeCell ref="C77:C78"/>
    <mergeCell ref="C75:C76"/>
    <mergeCell ref="C73:C74"/>
    <mergeCell ref="C71:C72"/>
    <mergeCell ref="C69:C70"/>
    <mergeCell ref="C67:C68"/>
    <mergeCell ref="C65:C66"/>
    <mergeCell ref="CJ14:CM14"/>
    <mergeCell ref="C1:E1"/>
    <mergeCell ref="C7:E7"/>
    <mergeCell ref="AN14:AQ14"/>
    <mergeCell ref="AT14:AW14"/>
    <mergeCell ref="AZ14:BC14"/>
    <mergeCell ref="BF14:BI14"/>
    <mergeCell ref="BR14:BU14"/>
    <mergeCell ref="BN11:DU11"/>
    <mergeCell ref="F11:BM11"/>
    <mergeCell ref="F12:BM12"/>
    <mergeCell ref="BN12:DU12"/>
    <mergeCell ref="C97:D98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BX14:CA14"/>
    <mergeCell ref="CD14:CG14"/>
    <mergeCell ref="CR10:DU10"/>
    <mergeCell ref="BN10:CP10"/>
    <mergeCell ref="DV10:GC10"/>
    <mergeCell ref="G9:U9"/>
    <mergeCell ref="W9:AG9"/>
    <mergeCell ref="AH9:AW9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39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tabSelected="1" zoomScaleNormal="100" zoomScaleSheetLayoutView="98" workbookViewId="0">
      <pane ySplit="1" topLeftCell="A203" activePane="bottomLeft" state="frozen"/>
      <selection activeCell="BC13" sqref="BC13"/>
      <selection pane="bottomLeft" activeCell="B217" sqref="B217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102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62.25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33</v>
      </c>
      <c r="C2" s="136">
        <v>27</v>
      </c>
      <c r="D2" s="136"/>
      <c r="E2" s="65" t="s">
        <v>34</v>
      </c>
      <c r="F2" s="77">
        <v>46174</v>
      </c>
      <c r="G2" s="101" t="s">
        <v>99</v>
      </c>
      <c r="H2" s="151"/>
    </row>
    <row r="3" spans="1:8" s="39" customFormat="1" ht="30" customHeight="1" thickBot="1" x14ac:dyDescent="0.3">
      <c r="B3" s="63" t="s">
        <v>35</v>
      </c>
      <c r="C3" s="123" t="s">
        <v>36</v>
      </c>
      <c r="D3" s="124"/>
      <c r="E3" s="63" t="s">
        <v>37</v>
      </c>
      <c r="F3" s="191" t="s">
        <v>38</v>
      </c>
      <c r="G3" s="192"/>
      <c r="H3" s="151"/>
    </row>
    <row r="4" spans="1:8" s="43" customFormat="1" x14ac:dyDescent="0.3">
      <c r="B4" s="40" t="s">
        <v>82</v>
      </c>
      <c r="C4" s="41">
        <v>13</v>
      </c>
      <c r="D4" s="125" t="str">
        <f xml:space="preserve"> IF(C4="","",setValueToTime(C4))</f>
        <v>1h 5 min</v>
      </c>
      <c r="E4" s="42"/>
      <c r="F4" s="199"/>
      <c r="G4" s="200"/>
      <c r="H4" s="152"/>
    </row>
    <row r="5" spans="1:8" s="43" customFormat="1" ht="27" x14ac:dyDescent="0.3">
      <c r="B5" s="44" t="s">
        <v>83</v>
      </c>
      <c r="C5" s="45">
        <v>6</v>
      </c>
      <c r="D5" s="126" t="str">
        <f t="shared" ref="D5:D11" si="0" xml:space="preserve"> IF(C5="","",setValueToTime(C5))</f>
        <v xml:space="preserve"> 30 min</v>
      </c>
      <c r="E5" s="46"/>
      <c r="F5" s="193"/>
      <c r="G5" s="194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193"/>
      <c r="G6" s="194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193"/>
      <c r="G7" s="194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193"/>
      <c r="G8" s="194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193"/>
      <c r="G9" s="194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193"/>
      <c r="G10" s="194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195"/>
      <c r="G11" s="196"/>
      <c r="H11" s="152"/>
    </row>
    <row r="12" spans="1:8" s="43" customFormat="1" ht="15" thickBot="1" x14ac:dyDescent="0.35">
      <c r="B12" s="86" t="s">
        <v>40</v>
      </c>
      <c r="C12" s="67">
        <f>SUM(C4:C11)</f>
        <v>19</v>
      </c>
      <c r="D12" s="86" t="str">
        <f xml:space="preserve"> setValueToTime(C12)</f>
        <v>1h 35 min</v>
      </c>
      <c r="E12" s="95"/>
      <c r="F12" s="197"/>
      <c r="G12" s="19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33</v>
      </c>
      <c r="C14" s="136">
        <v>26</v>
      </c>
      <c r="D14" s="136"/>
      <c r="E14" s="65" t="s">
        <v>34</v>
      </c>
      <c r="F14" s="77">
        <v>46171</v>
      </c>
      <c r="G14" s="101" t="s">
        <v>70</v>
      </c>
      <c r="H14" s="151"/>
    </row>
    <row r="15" spans="1:8" s="39" customFormat="1" ht="30" customHeight="1" thickBot="1" x14ac:dyDescent="0.3">
      <c r="B15" s="63" t="s">
        <v>35</v>
      </c>
      <c r="C15" s="123" t="s">
        <v>36</v>
      </c>
      <c r="D15" s="124"/>
      <c r="E15" s="63" t="s">
        <v>37</v>
      </c>
      <c r="F15" s="191" t="s">
        <v>38</v>
      </c>
      <c r="G15" s="192"/>
      <c r="H15" s="151"/>
    </row>
    <row r="16" spans="1:8" s="43" customFormat="1" x14ac:dyDescent="0.3">
      <c r="B16" s="40" t="s">
        <v>30</v>
      </c>
      <c r="C16" s="41">
        <v>25</v>
      </c>
      <c r="D16" s="125" t="str">
        <f xml:space="preserve"> IF(C16="","",setValueToTime(C16))</f>
        <v>2h 5 min</v>
      </c>
      <c r="E16" s="42"/>
      <c r="F16" s="199"/>
      <c r="G16" s="200"/>
      <c r="H16" s="152"/>
    </row>
    <row r="17" spans="2:8" s="43" customFormat="1" x14ac:dyDescent="0.3">
      <c r="B17" s="44" t="s">
        <v>82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/>
      <c r="F17" s="193"/>
      <c r="G17" s="194"/>
      <c r="H17" s="152"/>
    </row>
    <row r="18" spans="2:8" s="43" customFormat="1" x14ac:dyDescent="0.3">
      <c r="B18" s="44" t="s">
        <v>29</v>
      </c>
      <c r="C18" s="45">
        <v>4</v>
      </c>
      <c r="D18" s="126" t="str">
        <f t="shared" ref="D18" si="2" xml:space="preserve"> IF(C18="","",setValueToTime(C18))</f>
        <v xml:space="preserve"> 20 min</v>
      </c>
      <c r="E18" s="46"/>
      <c r="F18" s="193"/>
      <c r="G18" s="194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193"/>
      <c r="G19" s="194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193"/>
      <c r="G20" s="194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193"/>
      <c r="G21" s="194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193"/>
      <c r="G22" s="194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195"/>
      <c r="G23" s="196"/>
      <c r="H23" s="152"/>
    </row>
    <row r="24" spans="2:8" s="43" customFormat="1" ht="15" thickBot="1" x14ac:dyDescent="0.35">
      <c r="B24" s="86" t="s">
        <v>40</v>
      </c>
      <c r="C24" s="67">
        <f>SUM(C16:C23)</f>
        <v>36</v>
      </c>
      <c r="D24" s="86" t="str">
        <f xml:space="preserve"> setValueToTime(C24)</f>
        <v>3h</v>
      </c>
      <c r="E24" s="95"/>
      <c r="F24" s="197"/>
      <c r="G24" s="19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33</v>
      </c>
      <c r="C26" s="136">
        <v>25</v>
      </c>
      <c r="D26" s="136"/>
      <c r="E26" s="65" t="s">
        <v>34</v>
      </c>
      <c r="F26" s="77">
        <v>46171</v>
      </c>
      <c r="G26" s="101" t="s">
        <v>66</v>
      </c>
      <c r="H26" s="151"/>
    </row>
    <row r="27" spans="2:8" s="39" customFormat="1" ht="30" customHeight="1" thickBot="1" x14ac:dyDescent="0.3">
      <c r="B27" s="63" t="s">
        <v>35</v>
      </c>
      <c r="C27" s="123" t="s">
        <v>36</v>
      </c>
      <c r="D27" s="124"/>
      <c r="E27" s="63" t="s">
        <v>37</v>
      </c>
      <c r="F27" s="191" t="s">
        <v>38</v>
      </c>
      <c r="G27" s="192"/>
      <c r="H27" s="151"/>
    </row>
    <row r="28" spans="2:8" s="43" customFormat="1" x14ac:dyDescent="0.3">
      <c r="B28" s="40" t="s">
        <v>30</v>
      </c>
      <c r="C28" s="41">
        <v>45</v>
      </c>
      <c r="D28" s="125" t="str">
        <f xml:space="preserve"> IF(C28="","",setValueToTime(C28))</f>
        <v>3h 45 min</v>
      </c>
      <c r="E28" s="42"/>
      <c r="F28" s="199"/>
      <c r="G28" s="200"/>
      <c r="H28" s="152"/>
    </row>
    <row r="29" spans="2:8" s="43" customFormat="1" x14ac:dyDescent="0.3">
      <c r="B29" s="44"/>
      <c r="C29" s="45"/>
      <c r="D29" s="126" t="str">
        <f t="shared" ref="D29:D35" si="3" xml:space="preserve"> IF(C29="","",setValueToTime(C29))</f>
        <v/>
      </c>
      <c r="E29" s="46"/>
      <c r="F29" s="193"/>
      <c r="G29" s="194"/>
      <c r="H29" s="152"/>
    </row>
    <row r="30" spans="2:8" s="43" customFormat="1" x14ac:dyDescent="0.3">
      <c r="B30" s="44"/>
      <c r="C30" s="45"/>
      <c r="D30" s="126" t="str">
        <f t="shared" si="3"/>
        <v/>
      </c>
      <c r="E30" s="46"/>
      <c r="F30" s="193"/>
      <c r="G30" s="194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193"/>
      <c r="G31" s="194"/>
      <c r="H31" s="152"/>
    </row>
    <row r="32" spans="2:8" s="43" customFormat="1" x14ac:dyDescent="0.3">
      <c r="B32" s="44"/>
      <c r="C32" s="45"/>
      <c r="D32" s="127" t="str">
        <f t="shared" si="3"/>
        <v/>
      </c>
      <c r="E32" s="46"/>
      <c r="F32" s="193"/>
      <c r="G32" s="194"/>
      <c r="H32" s="152"/>
    </row>
    <row r="33" spans="2:8" s="43" customFormat="1" x14ac:dyDescent="0.3">
      <c r="B33" s="44"/>
      <c r="C33" s="45"/>
      <c r="D33" s="127" t="str">
        <f t="shared" si="3"/>
        <v/>
      </c>
      <c r="E33" s="46"/>
      <c r="F33" s="193"/>
      <c r="G33" s="194"/>
      <c r="H33" s="152"/>
    </row>
    <row r="34" spans="2:8" s="43" customFormat="1" x14ac:dyDescent="0.3">
      <c r="B34" s="44"/>
      <c r="C34" s="45"/>
      <c r="D34" s="127" t="str">
        <f t="shared" si="3"/>
        <v/>
      </c>
      <c r="E34" s="46"/>
      <c r="F34" s="193"/>
      <c r="G34" s="194"/>
      <c r="H34" s="152"/>
    </row>
    <row r="35" spans="2:8" s="43" customFormat="1" ht="15" thickBot="1" x14ac:dyDescent="0.35">
      <c r="B35" s="44"/>
      <c r="C35" s="47"/>
      <c r="D35" s="128" t="str">
        <f t="shared" si="3"/>
        <v/>
      </c>
      <c r="E35" s="48"/>
      <c r="F35" s="195"/>
      <c r="G35" s="196"/>
      <c r="H35" s="152"/>
    </row>
    <row r="36" spans="2:8" s="43" customFormat="1" ht="15" thickBot="1" x14ac:dyDescent="0.35">
      <c r="B36" s="86" t="s">
        <v>40</v>
      </c>
      <c r="C36" s="67">
        <f>SUM(C28:C35)</f>
        <v>45</v>
      </c>
      <c r="D36" s="86" t="str">
        <f xml:space="preserve"> setValueToTime(C36)</f>
        <v>3h 45 min</v>
      </c>
      <c r="E36" s="95"/>
      <c r="F36" s="197"/>
      <c r="G36" s="19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33</v>
      </c>
      <c r="C38" s="136">
        <v>24</v>
      </c>
      <c r="D38" s="136"/>
      <c r="E38" s="65" t="s">
        <v>34</v>
      </c>
      <c r="F38" s="77">
        <v>46170</v>
      </c>
      <c r="G38" s="101" t="s">
        <v>70</v>
      </c>
      <c r="H38" s="151"/>
    </row>
    <row r="39" spans="2:8" s="39" customFormat="1" ht="30" customHeight="1" thickBot="1" x14ac:dyDescent="0.3">
      <c r="B39" s="63" t="s">
        <v>35</v>
      </c>
      <c r="C39" s="123" t="s">
        <v>36</v>
      </c>
      <c r="D39" s="124"/>
      <c r="E39" s="63" t="s">
        <v>37</v>
      </c>
      <c r="F39" s="191" t="s">
        <v>38</v>
      </c>
      <c r="G39" s="192"/>
      <c r="H39" s="151"/>
    </row>
    <row r="40" spans="2:8" s="43" customFormat="1" ht="27" x14ac:dyDescent="0.3">
      <c r="B40" s="40" t="s">
        <v>76</v>
      </c>
      <c r="C40" s="41">
        <v>30</v>
      </c>
      <c r="D40" s="125" t="str">
        <f xml:space="preserve"> IF(C40="","",setValueToTime(C40))</f>
        <v>2h 30 min</v>
      </c>
      <c r="E40" s="42"/>
      <c r="F40" s="199"/>
      <c r="G40" s="200"/>
      <c r="H40" s="152"/>
    </row>
    <row r="41" spans="2:8" s="43" customFormat="1" x14ac:dyDescent="0.3">
      <c r="B41" s="44" t="s">
        <v>30</v>
      </c>
      <c r="C41" s="45">
        <v>3</v>
      </c>
      <c r="D41" s="126" t="str">
        <f t="shared" ref="D41:D47" si="4" xml:space="preserve"> IF(C41="","",setValueToTime(C41))</f>
        <v xml:space="preserve"> 15 min</v>
      </c>
      <c r="E41" s="46"/>
      <c r="F41" s="193"/>
      <c r="G41" s="194"/>
      <c r="H41" s="152"/>
    </row>
    <row r="42" spans="2:8" s="43" customFormat="1" x14ac:dyDescent="0.3">
      <c r="B42" s="44" t="s">
        <v>29</v>
      </c>
      <c r="C42" s="45">
        <v>3</v>
      </c>
      <c r="D42" s="126" t="str">
        <f t="shared" si="4"/>
        <v xml:space="preserve"> 15 min</v>
      </c>
      <c r="E42" s="46"/>
      <c r="F42" s="193"/>
      <c r="G42" s="194"/>
      <c r="H42" s="152"/>
    </row>
    <row r="43" spans="2:8" s="43" customFormat="1" x14ac:dyDescent="0.3">
      <c r="B43" s="44"/>
      <c r="C43" s="45"/>
      <c r="D43" s="126" t="str">
        <f t="shared" si="4"/>
        <v/>
      </c>
      <c r="E43" s="46"/>
      <c r="F43" s="193"/>
      <c r="G43" s="194"/>
      <c r="H43" s="152"/>
    </row>
    <row r="44" spans="2:8" s="43" customFormat="1" x14ac:dyDescent="0.3">
      <c r="B44" s="44"/>
      <c r="C44" s="45"/>
      <c r="D44" s="127" t="str">
        <f t="shared" si="4"/>
        <v/>
      </c>
      <c r="E44" s="46"/>
      <c r="F44" s="193"/>
      <c r="G44" s="194"/>
      <c r="H44" s="152"/>
    </row>
    <row r="45" spans="2:8" s="43" customFormat="1" x14ac:dyDescent="0.3">
      <c r="B45" s="44"/>
      <c r="C45" s="45"/>
      <c r="D45" s="127" t="str">
        <f t="shared" si="4"/>
        <v/>
      </c>
      <c r="E45" s="46"/>
      <c r="F45" s="193"/>
      <c r="G45" s="194"/>
      <c r="H45" s="152"/>
    </row>
    <row r="46" spans="2:8" s="43" customFormat="1" x14ac:dyDescent="0.3">
      <c r="B46" s="44"/>
      <c r="C46" s="45"/>
      <c r="D46" s="127" t="str">
        <f t="shared" si="4"/>
        <v/>
      </c>
      <c r="E46" s="46"/>
      <c r="F46" s="193"/>
      <c r="G46" s="194"/>
      <c r="H46" s="152"/>
    </row>
    <row r="47" spans="2:8" s="43" customFormat="1" ht="15" thickBot="1" x14ac:dyDescent="0.35">
      <c r="B47" s="44"/>
      <c r="C47" s="47"/>
      <c r="D47" s="128" t="str">
        <f t="shared" si="4"/>
        <v/>
      </c>
      <c r="E47" s="48"/>
      <c r="F47" s="195"/>
      <c r="G47" s="196"/>
      <c r="H47" s="152"/>
    </row>
    <row r="48" spans="2:8" s="43" customFormat="1" ht="15" thickBot="1" x14ac:dyDescent="0.35">
      <c r="B48" s="86" t="s">
        <v>40</v>
      </c>
      <c r="C48" s="67">
        <f>SUM(C40:C47)</f>
        <v>36</v>
      </c>
      <c r="D48" s="86" t="str">
        <f xml:space="preserve"> setValueToTime(C48)</f>
        <v>3h</v>
      </c>
      <c r="E48" s="95"/>
      <c r="F48" s="197"/>
      <c r="G48" s="19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33</v>
      </c>
      <c r="C50" s="136">
        <v>23</v>
      </c>
      <c r="D50" s="136"/>
      <c r="E50" s="65" t="s">
        <v>34</v>
      </c>
      <c r="F50" s="77">
        <v>46170</v>
      </c>
      <c r="G50" s="101" t="s">
        <v>66</v>
      </c>
      <c r="H50" s="151"/>
    </row>
    <row r="51" spans="2:8" s="39" customFormat="1" ht="30" customHeight="1" thickBot="1" x14ac:dyDescent="0.3">
      <c r="B51" s="63" t="s">
        <v>35</v>
      </c>
      <c r="C51" s="123" t="s">
        <v>36</v>
      </c>
      <c r="D51" s="124"/>
      <c r="E51" s="63" t="s">
        <v>37</v>
      </c>
      <c r="F51" s="191" t="s">
        <v>38</v>
      </c>
      <c r="G51" s="192"/>
      <c r="H51" s="151"/>
    </row>
    <row r="52" spans="2:8" s="43" customFormat="1" ht="27" x14ac:dyDescent="0.3">
      <c r="B52" s="40" t="s">
        <v>75</v>
      </c>
      <c r="C52" s="41">
        <v>17</v>
      </c>
      <c r="D52" s="125" t="str">
        <f xml:space="preserve"> IF(C52="","",setValueToTime(C52))</f>
        <v>1h 25 min</v>
      </c>
      <c r="E52" s="42"/>
      <c r="F52" s="199"/>
      <c r="G52" s="200"/>
      <c r="H52" s="152"/>
    </row>
    <row r="53" spans="2:8" s="43" customFormat="1" ht="27" x14ac:dyDescent="0.3">
      <c r="B53" s="44" t="s">
        <v>76</v>
      </c>
      <c r="C53" s="45">
        <v>28</v>
      </c>
      <c r="D53" s="126" t="str">
        <f xml:space="preserve"> IF(C53="","",setValueToTime(C53))</f>
        <v>2h 20 min</v>
      </c>
      <c r="E53" s="46"/>
      <c r="F53" s="193"/>
      <c r="G53" s="194"/>
      <c r="H53" s="152"/>
    </row>
    <row r="54" spans="2:8" s="43" customFormat="1" x14ac:dyDescent="0.3">
      <c r="B54" s="44"/>
      <c r="C54" s="45"/>
      <c r="D54" s="126" t="str">
        <f t="shared" ref="D54:D59" si="5" xml:space="preserve"> IF(C54="","",setValueToTime(C54))</f>
        <v/>
      </c>
      <c r="E54" s="46"/>
      <c r="F54" s="193"/>
      <c r="G54" s="194"/>
      <c r="H54" s="152"/>
    </row>
    <row r="55" spans="2:8" s="43" customFormat="1" x14ac:dyDescent="0.3">
      <c r="B55" s="44"/>
      <c r="C55" s="45"/>
      <c r="D55" s="126" t="str">
        <f t="shared" si="5"/>
        <v/>
      </c>
      <c r="E55" s="46"/>
      <c r="F55" s="193"/>
      <c r="G55" s="194"/>
      <c r="H55" s="152"/>
    </row>
    <row r="56" spans="2:8" s="43" customFormat="1" x14ac:dyDescent="0.3">
      <c r="B56" s="44"/>
      <c r="C56" s="45"/>
      <c r="D56" s="127" t="str">
        <f t="shared" si="5"/>
        <v/>
      </c>
      <c r="E56" s="46"/>
      <c r="F56" s="193"/>
      <c r="G56" s="194"/>
      <c r="H56" s="152"/>
    </row>
    <row r="57" spans="2:8" s="43" customFormat="1" x14ac:dyDescent="0.3">
      <c r="B57" s="44"/>
      <c r="C57" s="45"/>
      <c r="D57" s="127" t="str">
        <f t="shared" si="5"/>
        <v/>
      </c>
      <c r="E57" s="46"/>
      <c r="F57" s="193"/>
      <c r="G57" s="194"/>
      <c r="H57" s="152"/>
    </row>
    <row r="58" spans="2:8" s="43" customFormat="1" x14ac:dyDescent="0.3">
      <c r="B58" s="44"/>
      <c r="C58" s="45"/>
      <c r="D58" s="127" t="str">
        <f t="shared" si="5"/>
        <v/>
      </c>
      <c r="E58" s="46"/>
      <c r="F58" s="193"/>
      <c r="G58" s="194"/>
      <c r="H58" s="152"/>
    </row>
    <row r="59" spans="2:8" s="43" customFormat="1" ht="15" thickBot="1" x14ac:dyDescent="0.35">
      <c r="B59" s="44"/>
      <c r="C59" s="47"/>
      <c r="D59" s="128" t="str">
        <f t="shared" si="5"/>
        <v/>
      </c>
      <c r="E59" s="48"/>
      <c r="F59" s="195"/>
      <c r="G59" s="196"/>
      <c r="H59" s="152"/>
    </row>
    <row r="60" spans="2:8" s="43" customFormat="1" ht="15" thickBot="1" x14ac:dyDescent="0.35">
      <c r="B60" s="86" t="s">
        <v>40</v>
      </c>
      <c r="C60" s="67">
        <f>SUM(C52:C59)</f>
        <v>45</v>
      </c>
      <c r="D60" s="86" t="str">
        <f xml:space="preserve"> setValueToTime(C60)</f>
        <v>3h 45 min</v>
      </c>
      <c r="E60" s="95"/>
      <c r="F60" s="197"/>
      <c r="G60" s="19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33</v>
      </c>
      <c r="C62" s="136">
        <v>22</v>
      </c>
      <c r="D62" s="136"/>
      <c r="E62" s="65" t="s">
        <v>34</v>
      </c>
      <c r="F62" s="77">
        <v>46169</v>
      </c>
      <c r="G62" s="101" t="s">
        <v>70</v>
      </c>
      <c r="H62" s="151"/>
    </row>
    <row r="63" spans="2:8" s="39" customFormat="1" ht="30" customHeight="1" thickBot="1" x14ac:dyDescent="0.3">
      <c r="B63" s="63" t="s">
        <v>35</v>
      </c>
      <c r="C63" s="123" t="s">
        <v>36</v>
      </c>
      <c r="D63" s="124"/>
      <c r="E63" s="63" t="s">
        <v>37</v>
      </c>
      <c r="F63" s="191" t="s">
        <v>38</v>
      </c>
      <c r="G63" s="192"/>
      <c r="H63" s="151"/>
    </row>
    <row r="64" spans="2:8" s="43" customFormat="1" ht="27" x14ac:dyDescent="0.3">
      <c r="B64" s="40" t="s">
        <v>75</v>
      </c>
      <c r="C64" s="41">
        <v>33</v>
      </c>
      <c r="D64" s="125" t="str">
        <f xml:space="preserve"> IF(C64="","",setValueToTime(C64))</f>
        <v>2h 45 min</v>
      </c>
      <c r="E64" s="42"/>
      <c r="F64" s="199"/>
      <c r="G64" s="200"/>
      <c r="H64" s="152"/>
    </row>
    <row r="65" spans="2:8" s="43" customFormat="1" x14ac:dyDescent="0.3">
      <c r="B65" s="44" t="s">
        <v>29</v>
      </c>
      <c r="C65" s="45">
        <v>3</v>
      </c>
      <c r="D65" s="126" t="str">
        <f t="shared" ref="D65:D71" si="6" xml:space="preserve"> IF(C65="","",setValueToTime(C65))</f>
        <v xml:space="preserve"> 15 min</v>
      </c>
      <c r="E65" s="46"/>
      <c r="F65" s="193"/>
      <c r="G65" s="194"/>
      <c r="H65" s="152"/>
    </row>
    <row r="66" spans="2:8" s="43" customFormat="1" x14ac:dyDescent="0.3">
      <c r="B66" s="44"/>
      <c r="C66" s="45"/>
      <c r="D66" s="126" t="str">
        <f t="shared" si="6"/>
        <v/>
      </c>
      <c r="E66" s="46"/>
      <c r="F66" s="193"/>
      <c r="G66" s="194"/>
      <c r="H66" s="152"/>
    </row>
    <row r="67" spans="2:8" s="43" customFormat="1" x14ac:dyDescent="0.3">
      <c r="B67" s="44"/>
      <c r="C67" s="45"/>
      <c r="D67" s="126" t="str">
        <f t="shared" si="6"/>
        <v/>
      </c>
      <c r="E67" s="46"/>
      <c r="F67" s="193"/>
      <c r="G67" s="194"/>
      <c r="H67" s="152"/>
    </row>
    <row r="68" spans="2:8" s="43" customFormat="1" x14ac:dyDescent="0.3">
      <c r="B68" s="44"/>
      <c r="C68" s="45"/>
      <c r="D68" s="127" t="str">
        <f t="shared" si="6"/>
        <v/>
      </c>
      <c r="E68" s="46"/>
      <c r="F68" s="193"/>
      <c r="G68" s="194"/>
      <c r="H68" s="152"/>
    </row>
    <row r="69" spans="2:8" s="43" customFormat="1" x14ac:dyDescent="0.3">
      <c r="B69" s="44"/>
      <c r="C69" s="45"/>
      <c r="D69" s="127" t="str">
        <f t="shared" si="6"/>
        <v/>
      </c>
      <c r="E69" s="46"/>
      <c r="F69" s="193"/>
      <c r="G69" s="194"/>
      <c r="H69" s="152"/>
    </row>
    <row r="70" spans="2:8" s="43" customFormat="1" x14ac:dyDescent="0.3">
      <c r="B70" s="44"/>
      <c r="C70" s="45"/>
      <c r="D70" s="127" t="str">
        <f t="shared" si="6"/>
        <v/>
      </c>
      <c r="E70" s="46"/>
      <c r="F70" s="193"/>
      <c r="G70" s="194"/>
      <c r="H70" s="152"/>
    </row>
    <row r="71" spans="2:8" s="43" customFormat="1" ht="15" thickBot="1" x14ac:dyDescent="0.35">
      <c r="B71" s="44"/>
      <c r="C71" s="47"/>
      <c r="D71" s="128" t="str">
        <f t="shared" si="6"/>
        <v/>
      </c>
      <c r="E71" s="48"/>
      <c r="F71" s="195"/>
      <c r="G71" s="196"/>
      <c r="H71" s="152"/>
    </row>
    <row r="72" spans="2:8" s="43" customFormat="1" ht="15" thickBot="1" x14ac:dyDescent="0.35">
      <c r="B72" s="86" t="s">
        <v>40</v>
      </c>
      <c r="C72" s="67">
        <f>SUM(C64:C71)</f>
        <v>36</v>
      </c>
      <c r="D72" s="86" t="str">
        <f xml:space="preserve"> setValueToTime(C72)</f>
        <v>3h</v>
      </c>
      <c r="E72" s="95"/>
      <c r="F72" s="197"/>
      <c r="G72" s="19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33</v>
      </c>
      <c r="C74" s="136">
        <v>21</v>
      </c>
      <c r="D74" s="136"/>
      <c r="E74" s="65" t="s">
        <v>34</v>
      </c>
      <c r="F74" s="77">
        <v>46169</v>
      </c>
      <c r="G74" s="101" t="s">
        <v>66</v>
      </c>
      <c r="H74" s="151"/>
    </row>
    <row r="75" spans="2:8" s="39" customFormat="1" ht="30" customHeight="1" thickBot="1" x14ac:dyDescent="0.3">
      <c r="B75" s="63" t="s">
        <v>35</v>
      </c>
      <c r="C75" s="123" t="s">
        <v>36</v>
      </c>
      <c r="D75" s="124"/>
      <c r="E75" s="63" t="s">
        <v>37</v>
      </c>
      <c r="F75" s="191" t="s">
        <v>38</v>
      </c>
      <c r="G75" s="192"/>
      <c r="H75" s="151"/>
    </row>
    <row r="76" spans="2:8" s="43" customFormat="1" ht="40.5" x14ac:dyDescent="0.3">
      <c r="B76" s="40" t="s">
        <v>80</v>
      </c>
      <c r="C76" s="41">
        <v>16</v>
      </c>
      <c r="D76" s="125" t="str">
        <f xml:space="preserve"> IF(C76="","",setValueToTime(C76))</f>
        <v>1h 20 min</v>
      </c>
      <c r="E76" s="42"/>
      <c r="F76" s="199"/>
      <c r="G76" s="200"/>
      <c r="H76" s="152"/>
    </row>
    <row r="77" spans="2:8" s="43" customFormat="1" x14ac:dyDescent="0.3">
      <c r="B77" s="44" t="s">
        <v>41</v>
      </c>
      <c r="C77" s="45">
        <v>9</v>
      </c>
      <c r="D77" s="126" t="str">
        <f t="shared" ref="D77:D83" si="7" xml:space="preserve"> IF(C77="","",setValueToTime(C77))</f>
        <v xml:space="preserve"> 45 min</v>
      </c>
      <c r="E77" s="46" t="s">
        <v>81</v>
      </c>
      <c r="F77" s="193"/>
      <c r="G77" s="194"/>
      <c r="H77" s="152"/>
    </row>
    <row r="78" spans="2:8" s="43" customFormat="1" x14ac:dyDescent="0.3">
      <c r="B78" s="44" t="s">
        <v>72</v>
      </c>
      <c r="C78" s="45">
        <v>6</v>
      </c>
      <c r="D78" s="126" t="str">
        <f t="shared" si="7"/>
        <v xml:space="preserve"> 30 min</v>
      </c>
      <c r="E78" s="46"/>
      <c r="F78" s="193"/>
      <c r="G78" s="194"/>
      <c r="H78" s="152"/>
    </row>
    <row r="79" spans="2:8" s="43" customFormat="1" x14ac:dyDescent="0.3">
      <c r="B79" s="44" t="s">
        <v>30</v>
      </c>
      <c r="C79" s="45">
        <v>14</v>
      </c>
      <c r="D79" s="126" t="str">
        <f t="shared" si="7"/>
        <v>1h 10 min</v>
      </c>
      <c r="E79" s="46"/>
      <c r="F79" s="193"/>
      <c r="G79" s="194"/>
      <c r="H79" s="152"/>
    </row>
    <row r="80" spans="2:8" s="43" customFormat="1" x14ac:dyDescent="0.3">
      <c r="B80" s="44"/>
      <c r="C80" s="45"/>
      <c r="D80" s="127" t="str">
        <f t="shared" si="7"/>
        <v/>
      </c>
      <c r="E80" s="46"/>
      <c r="F80" s="193"/>
      <c r="G80" s="194"/>
      <c r="H80" s="152"/>
    </row>
    <row r="81" spans="2:8" s="43" customFormat="1" x14ac:dyDescent="0.3">
      <c r="B81" s="44"/>
      <c r="C81" s="45"/>
      <c r="D81" s="127" t="str">
        <f t="shared" si="7"/>
        <v/>
      </c>
      <c r="E81" s="46"/>
      <c r="F81" s="193"/>
      <c r="G81" s="194"/>
      <c r="H81" s="152"/>
    </row>
    <row r="82" spans="2:8" s="43" customFormat="1" x14ac:dyDescent="0.3">
      <c r="B82" s="44"/>
      <c r="C82" s="45"/>
      <c r="D82" s="127" t="str">
        <f t="shared" si="7"/>
        <v/>
      </c>
      <c r="E82" s="46"/>
      <c r="F82" s="193"/>
      <c r="G82" s="194"/>
      <c r="H82" s="152"/>
    </row>
    <row r="83" spans="2:8" s="43" customFormat="1" ht="15" thickBot="1" x14ac:dyDescent="0.35">
      <c r="B83" s="44"/>
      <c r="C83" s="47"/>
      <c r="D83" s="128" t="str">
        <f t="shared" si="7"/>
        <v/>
      </c>
      <c r="E83" s="48"/>
      <c r="F83" s="195"/>
      <c r="G83" s="196"/>
      <c r="H83" s="152"/>
    </row>
    <row r="84" spans="2:8" s="43" customFormat="1" ht="15" thickBot="1" x14ac:dyDescent="0.35">
      <c r="B84" s="86" t="s">
        <v>40</v>
      </c>
      <c r="C84" s="67">
        <f>SUM(C76:C83)</f>
        <v>45</v>
      </c>
      <c r="D84" s="86" t="str">
        <f xml:space="preserve"> setValueToTime(C84)</f>
        <v>3h 45 min</v>
      </c>
      <c r="E84" s="95"/>
      <c r="F84" s="197"/>
      <c r="G84" s="19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33</v>
      </c>
      <c r="C86" s="136">
        <v>20</v>
      </c>
      <c r="D86" s="136"/>
      <c r="E86" s="65" t="s">
        <v>34</v>
      </c>
      <c r="F86" s="77">
        <v>46164</v>
      </c>
      <c r="G86" s="101" t="s">
        <v>70</v>
      </c>
      <c r="H86" s="151"/>
    </row>
    <row r="87" spans="2:8" s="39" customFormat="1" ht="30" customHeight="1" thickBot="1" x14ac:dyDescent="0.3">
      <c r="B87" s="63" t="s">
        <v>35</v>
      </c>
      <c r="C87" s="123" t="s">
        <v>36</v>
      </c>
      <c r="D87" s="124"/>
      <c r="E87" s="63" t="s">
        <v>37</v>
      </c>
      <c r="F87" s="191" t="s">
        <v>38</v>
      </c>
      <c r="G87" s="192"/>
      <c r="H87" s="151"/>
    </row>
    <row r="88" spans="2:8" s="43" customFormat="1" ht="27" x14ac:dyDescent="0.3">
      <c r="B88" s="40" t="s">
        <v>79</v>
      </c>
      <c r="C88" s="41">
        <v>4</v>
      </c>
      <c r="D88" s="125" t="str">
        <f xml:space="preserve"> IF(C88="","",setValueToTime(C88))</f>
        <v xml:space="preserve"> 20 min</v>
      </c>
      <c r="E88" s="42"/>
      <c r="F88" s="199"/>
      <c r="G88" s="200"/>
      <c r="H88" s="152"/>
    </row>
    <row r="89" spans="2:8" s="43" customFormat="1" x14ac:dyDescent="0.3">
      <c r="B89" s="44" t="s">
        <v>78</v>
      </c>
      <c r="C89" s="45">
        <v>16</v>
      </c>
      <c r="D89" s="126" t="str">
        <f t="shared" ref="D89:D95" si="8" xml:space="preserve"> IF(C89="","",setValueToTime(C89))</f>
        <v>1h 20 min</v>
      </c>
      <c r="E89" s="46"/>
      <c r="F89" s="193"/>
      <c r="G89" s="194"/>
      <c r="H89" s="152"/>
    </row>
    <row r="90" spans="2:8" s="43" customFormat="1" ht="40.5" x14ac:dyDescent="0.3">
      <c r="B90" s="44" t="s">
        <v>80</v>
      </c>
      <c r="C90" s="45">
        <v>12</v>
      </c>
      <c r="D90" s="126" t="str">
        <f t="shared" si="8"/>
        <v>1h</v>
      </c>
      <c r="E90" s="46"/>
      <c r="F90" s="193"/>
      <c r="G90" s="194"/>
      <c r="H90" s="152"/>
    </row>
    <row r="91" spans="2:8" s="43" customFormat="1" x14ac:dyDescent="0.3">
      <c r="B91" s="44" t="s">
        <v>29</v>
      </c>
      <c r="C91" s="45">
        <v>4</v>
      </c>
      <c r="D91" s="126" t="str">
        <f t="shared" si="8"/>
        <v xml:space="preserve"> 20 min</v>
      </c>
      <c r="E91" s="46"/>
      <c r="F91" s="193"/>
      <c r="G91" s="194"/>
      <c r="H91" s="152"/>
    </row>
    <row r="92" spans="2:8" s="43" customFormat="1" x14ac:dyDescent="0.3">
      <c r="B92" s="44"/>
      <c r="C92" s="45"/>
      <c r="D92" s="127" t="str">
        <f t="shared" si="8"/>
        <v/>
      </c>
      <c r="E92" s="46"/>
      <c r="F92" s="193"/>
      <c r="G92" s="194"/>
      <c r="H92" s="152"/>
    </row>
    <row r="93" spans="2:8" s="43" customFormat="1" x14ac:dyDescent="0.3">
      <c r="B93" s="44"/>
      <c r="C93" s="45"/>
      <c r="D93" s="127" t="str">
        <f t="shared" si="8"/>
        <v/>
      </c>
      <c r="E93" s="46"/>
      <c r="F93" s="193"/>
      <c r="G93" s="194"/>
      <c r="H93" s="152"/>
    </row>
    <row r="94" spans="2:8" s="43" customFormat="1" x14ac:dyDescent="0.3">
      <c r="B94" s="44"/>
      <c r="C94" s="45"/>
      <c r="D94" s="127" t="str">
        <f t="shared" si="8"/>
        <v/>
      </c>
      <c r="E94" s="46"/>
      <c r="F94" s="193"/>
      <c r="G94" s="194"/>
      <c r="H94" s="152"/>
    </row>
    <row r="95" spans="2:8" s="43" customFormat="1" ht="15" thickBot="1" x14ac:dyDescent="0.35">
      <c r="B95" s="44"/>
      <c r="C95" s="47"/>
      <c r="D95" s="128" t="str">
        <f t="shared" si="8"/>
        <v/>
      </c>
      <c r="E95" s="48"/>
      <c r="F95" s="195"/>
      <c r="G95" s="196"/>
      <c r="H95" s="152"/>
    </row>
    <row r="96" spans="2:8" s="43" customFormat="1" ht="15" thickBot="1" x14ac:dyDescent="0.35">
      <c r="B96" s="86" t="s">
        <v>40</v>
      </c>
      <c r="C96" s="67">
        <f>SUM(C88:C95)</f>
        <v>36</v>
      </c>
      <c r="D96" s="86" t="str">
        <f xml:space="preserve"> setValueToTime(C96)</f>
        <v>3h</v>
      </c>
      <c r="E96" s="95"/>
      <c r="F96" s="197"/>
      <c r="G96" s="19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33</v>
      </c>
      <c r="C98" s="136">
        <v>19</v>
      </c>
      <c r="D98" s="136"/>
      <c r="E98" s="65" t="s">
        <v>34</v>
      </c>
      <c r="F98" s="77">
        <v>46164</v>
      </c>
      <c r="G98" s="101" t="s">
        <v>66</v>
      </c>
      <c r="H98" s="151"/>
    </row>
    <row r="99" spans="2:8" s="39" customFormat="1" ht="30" customHeight="1" thickBot="1" x14ac:dyDescent="0.3">
      <c r="B99" s="63" t="s">
        <v>35</v>
      </c>
      <c r="C99" s="123" t="s">
        <v>36</v>
      </c>
      <c r="D99" s="124"/>
      <c r="E99" s="63" t="s">
        <v>37</v>
      </c>
      <c r="F99" s="191" t="s">
        <v>38</v>
      </c>
      <c r="G99" s="192"/>
      <c r="H99" s="151"/>
    </row>
    <row r="100" spans="2:8" s="43" customFormat="1" x14ac:dyDescent="0.3">
      <c r="B100" s="40" t="s">
        <v>30</v>
      </c>
      <c r="C100" s="41">
        <v>24</v>
      </c>
      <c r="D100" s="125" t="str">
        <f xml:space="preserve"> IF(C100="","",setValueToTime(C100))</f>
        <v>2h</v>
      </c>
      <c r="E100" s="42"/>
      <c r="F100" s="199"/>
      <c r="G100" s="200"/>
      <c r="H100" s="152"/>
    </row>
    <row r="101" spans="2:8" s="43" customFormat="1" ht="27" x14ac:dyDescent="0.3">
      <c r="B101" s="44" t="s">
        <v>77</v>
      </c>
      <c r="C101" s="45">
        <v>15</v>
      </c>
      <c r="D101" s="126" t="str">
        <f t="shared" ref="D101:D107" si="9" xml:space="preserve"> IF(C101="","",setValueToTime(C101))</f>
        <v>1h 15 min</v>
      </c>
      <c r="E101" s="46"/>
      <c r="F101" s="193"/>
      <c r="G101" s="194"/>
      <c r="H101" s="152"/>
    </row>
    <row r="102" spans="2:8" s="43" customFormat="1" ht="27" x14ac:dyDescent="0.3">
      <c r="B102" s="44" t="s">
        <v>79</v>
      </c>
      <c r="C102" s="45">
        <v>6</v>
      </c>
      <c r="D102" s="126" t="str">
        <f t="shared" si="9"/>
        <v xml:space="preserve"> 30 min</v>
      </c>
      <c r="E102" s="46"/>
      <c r="F102" s="193"/>
      <c r="G102" s="194"/>
      <c r="H102" s="152"/>
    </row>
    <row r="103" spans="2:8" s="43" customFormat="1" x14ac:dyDescent="0.3">
      <c r="B103" s="44"/>
      <c r="C103" s="45"/>
      <c r="D103" s="126" t="str">
        <f t="shared" si="9"/>
        <v/>
      </c>
      <c r="E103" s="46"/>
      <c r="F103" s="193"/>
      <c r="G103" s="194"/>
      <c r="H103" s="152"/>
    </row>
    <row r="104" spans="2:8" s="43" customFormat="1" x14ac:dyDescent="0.3">
      <c r="B104" s="44"/>
      <c r="C104" s="45"/>
      <c r="D104" s="127" t="str">
        <f t="shared" si="9"/>
        <v/>
      </c>
      <c r="E104" s="46"/>
      <c r="F104" s="193"/>
      <c r="G104" s="194"/>
      <c r="H104" s="152"/>
    </row>
    <row r="105" spans="2:8" s="43" customFormat="1" x14ac:dyDescent="0.3">
      <c r="B105" s="44"/>
      <c r="C105" s="45"/>
      <c r="D105" s="127" t="str">
        <f t="shared" si="9"/>
        <v/>
      </c>
      <c r="E105" s="46"/>
      <c r="F105" s="193"/>
      <c r="G105" s="194"/>
      <c r="H105" s="152"/>
    </row>
    <row r="106" spans="2:8" s="43" customFormat="1" x14ac:dyDescent="0.3">
      <c r="B106" s="44"/>
      <c r="C106" s="45"/>
      <c r="D106" s="127" t="str">
        <f t="shared" si="9"/>
        <v/>
      </c>
      <c r="E106" s="46"/>
      <c r="F106" s="193"/>
      <c r="G106" s="194"/>
      <c r="H106" s="152"/>
    </row>
    <row r="107" spans="2:8" s="43" customFormat="1" ht="15" thickBot="1" x14ac:dyDescent="0.35">
      <c r="B107" s="44"/>
      <c r="C107" s="47"/>
      <c r="D107" s="128" t="str">
        <f t="shared" si="9"/>
        <v/>
      </c>
      <c r="E107" s="48"/>
      <c r="F107" s="195"/>
      <c r="G107" s="196"/>
      <c r="H107" s="152"/>
    </row>
    <row r="108" spans="2:8" s="43" customFormat="1" ht="15" thickBot="1" x14ac:dyDescent="0.35">
      <c r="B108" s="86" t="s">
        <v>40</v>
      </c>
      <c r="C108" s="67">
        <f>SUM(C100:C107)</f>
        <v>45</v>
      </c>
      <c r="D108" s="86" t="str">
        <f xml:space="preserve"> setValueToTime(C108)</f>
        <v>3h 45 min</v>
      </c>
      <c r="E108" s="95"/>
      <c r="F108" s="197"/>
      <c r="G108" s="19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33</v>
      </c>
      <c r="C110" s="136">
        <v>18</v>
      </c>
      <c r="D110" s="136"/>
      <c r="E110" s="65" t="s">
        <v>34</v>
      </c>
      <c r="F110" s="77">
        <v>46163</v>
      </c>
      <c r="G110" s="101" t="s">
        <v>70</v>
      </c>
      <c r="H110" s="151"/>
    </row>
    <row r="111" spans="2:8" s="39" customFormat="1" ht="30" customHeight="1" thickBot="1" x14ac:dyDescent="0.3">
      <c r="B111" s="63" t="s">
        <v>35</v>
      </c>
      <c r="C111" s="123" t="s">
        <v>36</v>
      </c>
      <c r="D111" s="124"/>
      <c r="E111" s="63" t="s">
        <v>37</v>
      </c>
      <c r="F111" s="191" t="s">
        <v>38</v>
      </c>
      <c r="G111" s="192"/>
      <c r="H111" s="151"/>
    </row>
    <row r="112" spans="2:8" s="43" customFormat="1" x14ac:dyDescent="0.3">
      <c r="B112" s="40" t="s">
        <v>74</v>
      </c>
      <c r="C112" s="41">
        <v>32</v>
      </c>
      <c r="D112" s="125" t="str">
        <f xml:space="preserve"> IF(C112="","",setValueToTime(C112))</f>
        <v>2h 40 min</v>
      </c>
      <c r="E112" s="42"/>
      <c r="F112" s="199"/>
      <c r="G112" s="200"/>
      <c r="H112" s="152"/>
    </row>
    <row r="113" spans="2:8" s="43" customFormat="1" x14ac:dyDescent="0.3">
      <c r="B113" s="44" t="s">
        <v>29</v>
      </c>
      <c r="C113" s="45">
        <v>4</v>
      </c>
      <c r="D113" s="126" t="str">
        <f t="shared" ref="D113:D119" si="10" xml:space="preserve"> IF(C113="","",setValueToTime(C113))</f>
        <v xml:space="preserve"> 20 min</v>
      </c>
      <c r="E113" s="46"/>
      <c r="F113" s="193"/>
      <c r="G113" s="194"/>
      <c r="H113" s="152"/>
    </row>
    <row r="114" spans="2:8" s="43" customFormat="1" x14ac:dyDescent="0.3">
      <c r="B114" s="44"/>
      <c r="C114" s="45"/>
      <c r="D114" s="126" t="str">
        <f t="shared" si="10"/>
        <v/>
      </c>
      <c r="E114" s="46"/>
      <c r="F114" s="193"/>
      <c r="G114" s="194"/>
      <c r="H114" s="152"/>
    </row>
    <row r="115" spans="2:8" s="43" customFormat="1" x14ac:dyDescent="0.3">
      <c r="B115" s="44"/>
      <c r="C115" s="45"/>
      <c r="D115" s="126" t="str">
        <f t="shared" si="10"/>
        <v/>
      </c>
      <c r="E115" s="46"/>
      <c r="F115" s="193"/>
      <c r="G115" s="194"/>
      <c r="H115" s="152"/>
    </row>
    <row r="116" spans="2:8" s="43" customFormat="1" x14ac:dyDescent="0.3">
      <c r="B116" s="44"/>
      <c r="C116" s="45"/>
      <c r="D116" s="127" t="str">
        <f t="shared" si="10"/>
        <v/>
      </c>
      <c r="E116" s="46"/>
      <c r="F116" s="193"/>
      <c r="G116" s="194"/>
      <c r="H116" s="152"/>
    </row>
    <row r="117" spans="2:8" s="43" customFormat="1" x14ac:dyDescent="0.3">
      <c r="B117" s="44"/>
      <c r="C117" s="45"/>
      <c r="D117" s="127" t="str">
        <f t="shared" si="10"/>
        <v/>
      </c>
      <c r="E117" s="46"/>
      <c r="F117" s="193"/>
      <c r="G117" s="194"/>
      <c r="H117" s="152"/>
    </row>
    <row r="118" spans="2:8" s="43" customFormat="1" x14ac:dyDescent="0.3">
      <c r="B118" s="44"/>
      <c r="C118" s="45"/>
      <c r="D118" s="127" t="str">
        <f t="shared" si="10"/>
        <v/>
      </c>
      <c r="E118" s="46"/>
      <c r="F118" s="193"/>
      <c r="G118" s="194"/>
      <c r="H118" s="152"/>
    </row>
    <row r="119" spans="2:8" s="43" customFormat="1" ht="15" thickBot="1" x14ac:dyDescent="0.35">
      <c r="B119" s="44"/>
      <c r="C119" s="47"/>
      <c r="D119" s="128" t="str">
        <f t="shared" si="10"/>
        <v/>
      </c>
      <c r="E119" s="48"/>
      <c r="F119" s="195"/>
      <c r="G119" s="196"/>
      <c r="H119" s="152"/>
    </row>
    <row r="120" spans="2:8" s="43" customFormat="1" ht="15" thickBot="1" x14ac:dyDescent="0.35">
      <c r="B120" s="86" t="s">
        <v>40</v>
      </c>
      <c r="C120" s="67">
        <f>SUM(C112:C119)</f>
        <v>36</v>
      </c>
      <c r="D120" s="86" t="str">
        <f xml:space="preserve"> setValueToTime(C120)</f>
        <v>3h</v>
      </c>
      <c r="E120" s="95"/>
      <c r="F120" s="197"/>
      <c r="G120" s="19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33</v>
      </c>
      <c r="C122" s="136">
        <v>17</v>
      </c>
      <c r="D122" s="136"/>
      <c r="E122" s="65" t="s">
        <v>34</v>
      </c>
      <c r="F122" s="77">
        <v>46163</v>
      </c>
      <c r="G122" s="101" t="s">
        <v>66</v>
      </c>
      <c r="H122" s="151"/>
    </row>
    <row r="123" spans="2:8" s="39" customFormat="1" ht="30" customHeight="1" thickBot="1" x14ac:dyDescent="0.3">
      <c r="B123" s="63" t="s">
        <v>35</v>
      </c>
      <c r="C123" s="123" t="s">
        <v>36</v>
      </c>
      <c r="D123" s="124"/>
      <c r="E123" s="63" t="s">
        <v>37</v>
      </c>
      <c r="F123" s="191" t="s">
        <v>38</v>
      </c>
      <c r="G123" s="192"/>
      <c r="H123" s="151"/>
    </row>
    <row r="124" spans="2:8" s="43" customFormat="1" x14ac:dyDescent="0.3">
      <c r="B124" s="40" t="s">
        <v>58</v>
      </c>
      <c r="C124" s="41">
        <v>5</v>
      </c>
      <c r="D124" s="125" t="str">
        <f xml:space="preserve"> IF(C124="","",setValueToTime(C124))</f>
        <v xml:space="preserve"> 25 min</v>
      </c>
      <c r="E124" s="42"/>
      <c r="F124" s="199"/>
      <c r="G124" s="200"/>
      <c r="H124" s="152"/>
    </row>
    <row r="125" spans="2:8" s="43" customFormat="1" x14ac:dyDescent="0.3">
      <c r="B125" s="44" t="s">
        <v>30</v>
      </c>
      <c r="C125" s="45">
        <v>30</v>
      </c>
      <c r="D125" s="126" t="str">
        <f t="shared" ref="D125:D131" si="11" xml:space="preserve"> IF(C125="","",setValueToTime(C125))</f>
        <v>2h 30 min</v>
      </c>
      <c r="E125" s="46"/>
      <c r="F125" s="193"/>
      <c r="G125" s="194"/>
      <c r="H125" s="152"/>
    </row>
    <row r="126" spans="2:8" s="43" customFormat="1" x14ac:dyDescent="0.3">
      <c r="B126" s="44" t="s">
        <v>74</v>
      </c>
      <c r="C126" s="45">
        <v>10</v>
      </c>
      <c r="D126" s="126" t="str">
        <f t="shared" si="11"/>
        <v xml:space="preserve"> 50 min</v>
      </c>
      <c r="E126" s="46"/>
      <c r="F126" s="193"/>
      <c r="G126" s="194"/>
      <c r="H126" s="152"/>
    </row>
    <row r="127" spans="2:8" s="43" customFormat="1" x14ac:dyDescent="0.3">
      <c r="B127" s="44"/>
      <c r="C127" s="45"/>
      <c r="D127" s="126" t="str">
        <f t="shared" si="11"/>
        <v/>
      </c>
      <c r="E127" s="46"/>
      <c r="F127" s="193"/>
      <c r="G127" s="194"/>
      <c r="H127" s="152"/>
    </row>
    <row r="128" spans="2:8" s="43" customFormat="1" x14ac:dyDescent="0.3">
      <c r="B128" s="44"/>
      <c r="C128" s="45"/>
      <c r="D128" s="127" t="str">
        <f t="shared" si="11"/>
        <v/>
      </c>
      <c r="E128" s="46"/>
      <c r="F128" s="193"/>
      <c r="G128" s="194"/>
      <c r="H128" s="152"/>
    </row>
    <row r="129" spans="2:8" s="43" customFormat="1" x14ac:dyDescent="0.3">
      <c r="B129" s="44"/>
      <c r="C129" s="45"/>
      <c r="D129" s="127" t="str">
        <f t="shared" si="11"/>
        <v/>
      </c>
      <c r="E129" s="46"/>
      <c r="F129" s="193"/>
      <c r="G129" s="194"/>
      <c r="H129" s="152"/>
    </row>
    <row r="130" spans="2:8" s="43" customFormat="1" x14ac:dyDescent="0.3">
      <c r="B130" s="44"/>
      <c r="C130" s="45"/>
      <c r="D130" s="127" t="str">
        <f t="shared" si="11"/>
        <v/>
      </c>
      <c r="E130" s="46"/>
      <c r="F130" s="193"/>
      <c r="G130" s="194"/>
      <c r="H130" s="152"/>
    </row>
    <row r="131" spans="2:8" s="43" customFormat="1" ht="15" thickBot="1" x14ac:dyDescent="0.35">
      <c r="B131" s="44"/>
      <c r="C131" s="47"/>
      <c r="D131" s="128" t="str">
        <f t="shared" si="11"/>
        <v/>
      </c>
      <c r="E131" s="48"/>
      <c r="F131" s="195"/>
      <c r="G131" s="196"/>
      <c r="H131" s="152"/>
    </row>
    <row r="132" spans="2:8" s="43" customFormat="1" ht="15" thickBot="1" x14ac:dyDescent="0.35">
      <c r="B132" s="86" t="s">
        <v>40</v>
      </c>
      <c r="C132" s="67">
        <f>SUM(C124:C131)</f>
        <v>45</v>
      </c>
      <c r="D132" s="86" t="str">
        <f xml:space="preserve"> setValueToTime(C132)</f>
        <v>3h 45 min</v>
      </c>
      <c r="E132" s="95"/>
      <c r="F132" s="197"/>
      <c r="G132" s="19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33</v>
      </c>
      <c r="C134" s="136">
        <v>16</v>
      </c>
      <c r="D134" s="136"/>
      <c r="E134" s="65" t="s">
        <v>34</v>
      </c>
      <c r="F134" s="77">
        <v>46162</v>
      </c>
      <c r="G134" s="101" t="s">
        <v>70</v>
      </c>
      <c r="H134" s="151"/>
    </row>
    <row r="135" spans="2:8" s="39" customFormat="1" ht="30" customHeight="1" thickBot="1" x14ac:dyDescent="0.3">
      <c r="B135" s="63" t="s">
        <v>35</v>
      </c>
      <c r="C135" s="123" t="s">
        <v>36</v>
      </c>
      <c r="D135" s="124"/>
      <c r="E135" s="63" t="s">
        <v>37</v>
      </c>
      <c r="F135" s="191" t="s">
        <v>38</v>
      </c>
      <c r="G135" s="192"/>
      <c r="H135" s="151"/>
    </row>
    <row r="136" spans="2:8" s="43" customFormat="1" ht="27" x14ac:dyDescent="0.3">
      <c r="B136" s="40" t="s">
        <v>73</v>
      </c>
      <c r="C136" s="41">
        <v>15</v>
      </c>
      <c r="D136" s="125" t="str">
        <f xml:space="preserve"> IF(C136="","",setValueToTime(C136))</f>
        <v>1h 15 min</v>
      </c>
      <c r="E136" s="42"/>
      <c r="F136" s="199"/>
      <c r="G136" s="200"/>
      <c r="H136" s="152"/>
    </row>
    <row r="137" spans="2:8" s="43" customFormat="1" x14ac:dyDescent="0.3">
      <c r="B137" s="44" t="s">
        <v>58</v>
      </c>
      <c r="C137" s="45">
        <v>17</v>
      </c>
      <c r="D137" s="126" t="str">
        <f t="shared" ref="D137:D143" si="12" xml:space="preserve"> IF(C137="","",setValueToTime(C137))</f>
        <v>1h 25 min</v>
      </c>
      <c r="E137" s="46"/>
      <c r="F137" s="193"/>
      <c r="G137" s="194"/>
      <c r="H137" s="152"/>
    </row>
    <row r="138" spans="2:8" s="43" customFormat="1" x14ac:dyDescent="0.3">
      <c r="B138" s="44" t="s">
        <v>29</v>
      </c>
      <c r="C138" s="45">
        <v>4</v>
      </c>
      <c r="D138" s="126" t="str">
        <f t="shared" si="12"/>
        <v xml:space="preserve"> 20 min</v>
      </c>
      <c r="E138" s="46"/>
      <c r="F138" s="193"/>
      <c r="G138" s="194"/>
      <c r="H138" s="152"/>
    </row>
    <row r="139" spans="2:8" s="43" customFormat="1" x14ac:dyDescent="0.3">
      <c r="B139" s="44"/>
      <c r="C139" s="45"/>
      <c r="D139" s="126" t="str">
        <f t="shared" si="12"/>
        <v/>
      </c>
      <c r="E139" s="46"/>
      <c r="F139" s="193"/>
      <c r="G139" s="194"/>
      <c r="H139" s="152"/>
    </row>
    <row r="140" spans="2:8" s="43" customFormat="1" x14ac:dyDescent="0.3">
      <c r="B140" s="44"/>
      <c r="C140" s="45"/>
      <c r="D140" s="127" t="str">
        <f t="shared" si="12"/>
        <v/>
      </c>
      <c r="E140" s="46"/>
      <c r="F140" s="193"/>
      <c r="G140" s="194"/>
      <c r="H140" s="152"/>
    </row>
    <row r="141" spans="2:8" s="43" customFormat="1" x14ac:dyDescent="0.3">
      <c r="B141" s="44"/>
      <c r="C141" s="45"/>
      <c r="D141" s="127" t="str">
        <f t="shared" si="12"/>
        <v/>
      </c>
      <c r="E141" s="46"/>
      <c r="F141" s="193"/>
      <c r="G141" s="194"/>
      <c r="H141" s="152"/>
    </row>
    <row r="142" spans="2:8" s="43" customFormat="1" x14ac:dyDescent="0.3">
      <c r="B142" s="44"/>
      <c r="C142" s="45"/>
      <c r="D142" s="127" t="str">
        <f t="shared" si="12"/>
        <v/>
      </c>
      <c r="E142" s="46"/>
      <c r="F142" s="193"/>
      <c r="G142" s="194"/>
      <c r="H142" s="152"/>
    </row>
    <row r="143" spans="2:8" s="43" customFormat="1" ht="15" thickBot="1" x14ac:dyDescent="0.35">
      <c r="B143" s="44"/>
      <c r="C143" s="47"/>
      <c r="D143" s="128" t="str">
        <f t="shared" si="12"/>
        <v/>
      </c>
      <c r="E143" s="48"/>
      <c r="F143" s="195"/>
      <c r="G143" s="196"/>
      <c r="H143" s="152"/>
    </row>
    <row r="144" spans="2:8" s="43" customFormat="1" ht="15" thickBot="1" x14ac:dyDescent="0.35">
      <c r="B144" s="86" t="s">
        <v>40</v>
      </c>
      <c r="C144" s="67">
        <f>SUM(C136:C143)</f>
        <v>36</v>
      </c>
      <c r="D144" s="86" t="str">
        <f xml:space="preserve"> setValueToTime(C144)</f>
        <v>3h</v>
      </c>
      <c r="E144" s="95"/>
      <c r="F144" s="197"/>
      <c r="G144" s="19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33</v>
      </c>
      <c r="C146" s="136">
        <v>15</v>
      </c>
      <c r="D146" s="136"/>
      <c r="E146" s="65" t="s">
        <v>34</v>
      </c>
      <c r="F146" s="77">
        <v>46162</v>
      </c>
      <c r="G146" s="101" t="s">
        <v>66</v>
      </c>
      <c r="H146" s="151"/>
    </row>
    <row r="147" spans="2:8" s="39" customFormat="1" ht="30" customHeight="1" thickBot="1" x14ac:dyDescent="0.3">
      <c r="B147" s="63" t="s">
        <v>35</v>
      </c>
      <c r="C147" s="123" t="s">
        <v>36</v>
      </c>
      <c r="D147" s="124"/>
      <c r="E147" s="63" t="s">
        <v>37</v>
      </c>
      <c r="F147" s="191" t="s">
        <v>38</v>
      </c>
      <c r="G147" s="192"/>
      <c r="H147" s="151"/>
    </row>
    <row r="148" spans="2:8" s="43" customFormat="1" ht="27" x14ac:dyDescent="0.3">
      <c r="B148" s="40" t="s">
        <v>60</v>
      </c>
      <c r="C148" s="41">
        <v>30</v>
      </c>
      <c r="D148" s="125" t="str">
        <f xml:space="preserve"> IF(C148="","",setValueToTime(C148))</f>
        <v>2h 30 min</v>
      </c>
      <c r="E148" s="42"/>
      <c r="F148" s="199"/>
      <c r="G148" s="200"/>
      <c r="H148" s="152"/>
    </row>
    <row r="149" spans="2:8" s="43" customFormat="1" ht="27" x14ac:dyDescent="0.3">
      <c r="B149" s="44" t="s">
        <v>73</v>
      </c>
      <c r="C149" s="45">
        <v>15</v>
      </c>
      <c r="D149" s="126" t="str">
        <f t="shared" ref="D149:D155" si="13" xml:space="preserve"> IF(C149="","",setValueToTime(C149))</f>
        <v>1h 15 min</v>
      </c>
      <c r="E149" s="46"/>
      <c r="F149" s="193"/>
      <c r="G149" s="194"/>
      <c r="H149" s="152"/>
    </row>
    <row r="150" spans="2:8" s="43" customFormat="1" x14ac:dyDescent="0.3">
      <c r="B150" s="44"/>
      <c r="C150" s="45"/>
      <c r="D150" s="126" t="str">
        <f t="shared" si="13"/>
        <v/>
      </c>
      <c r="E150" s="46"/>
      <c r="F150" s="193"/>
      <c r="G150" s="194"/>
      <c r="H150" s="152"/>
    </row>
    <row r="151" spans="2:8" s="43" customFormat="1" x14ac:dyDescent="0.3">
      <c r="B151" s="44"/>
      <c r="C151" s="45"/>
      <c r="D151" s="126" t="str">
        <f t="shared" si="13"/>
        <v/>
      </c>
      <c r="E151" s="46"/>
      <c r="F151" s="193"/>
      <c r="G151" s="194"/>
      <c r="H151" s="152"/>
    </row>
    <row r="152" spans="2:8" s="43" customFormat="1" x14ac:dyDescent="0.3">
      <c r="B152" s="44"/>
      <c r="C152" s="45"/>
      <c r="D152" s="127" t="str">
        <f t="shared" si="13"/>
        <v/>
      </c>
      <c r="E152" s="46"/>
      <c r="F152" s="193"/>
      <c r="G152" s="194"/>
      <c r="H152" s="152"/>
    </row>
    <row r="153" spans="2:8" s="43" customFormat="1" x14ac:dyDescent="0.3">
      <c r="B153" s="44"/>
      <c r="C153" s="45"/>
      <c r="D153" s="127" t="str">
        <f t="shared" si="13"/>
        <v/>
      </c>
      <c r="E153" s="46"/>
      <c r="F153" s="193"/>
      <c r="G153" s="194"/>
      <c r="H153" s="152"/>
    </row>
    <row r="154" spans="2:8" s="43" customFormat="1" x14ac:dyDescent="0.3">
      <c r="B154" s="44"/>
      <c r="C154" s="45"/>
      <c r="D154" s="127" t="str">
        <f t="shared" si="13"/>
        <v/>
      </c>
      <c r="E154" s="46"/>
      <c r="F154" s="193"/>
      <c r="G154" s="194"/>
      <c r="H154" s="152"/>
    </row>
    <row r="155" spans="2:8" s="43" customFormat="1" ht="15" thickBot="1" x14ac:dyDescent="0.35">
      <c r="B155" s="44"/>
      <c r="C155" s="47"/>
      <c r="D155" s="128" t="str">
        <f t="shared" si="13"/>
        <v/>
      </c>
      <c r="E155" s="48"/>
      <c r="F155" s="195"/>
      <c r="G155" s="196"/>
      <c r="H155" s="152"/>
    </row>
    <row r="156" spans="2:8" s="43" customFormat="1" ht="15" thickBot="1" x14ac:dyDescent="0.35">
      <c r="B156" s="86" t="s">
        <v>40</v>
      </c>
      <c r="C156" s="67">
        <f>SUM(C148:C155)</f>
        <v>45</v>
      </c>
      <c r="D156" s="86" t="str">
        <f xml:space="preserve"> setValueToTime(C156)</f>
        <v>3h 45 min</v>
      </c>
      <c r="E156" s="95"/>
      <c r="F156" s="197"/>
      <c r="G156" s="19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33</v>
      </c>
      <c r="C158" s="136">
        <v>14</v>
      </c>
      <c r="D158" s="136"/>
      <c r="E158" s="65" t="s">
        <v>34</v>
      </c>
      <c r="F158" s="77">
        <v>46160</v>
      </c>
      <c r="G158" s="101" t="s">
        <v>70</v>
      </c>
      <c r="H158" s="151"/>
    </row>
    <row r="159" spans="2:8" s="39" customFormat="1" ht="30" customHeight="1" thickBot="1" x14ac:dyDescent="0.3">
      <c r="B159" s="63" t="s">
        <v>35</v>
      </c>
      <c r="C159" s="123" t="s">
        <v>36</v>
      </c>
      <c r="D159" s="124"/>
      <c r="E159" s="63" t="s">
        <v>37</v>
      </c>
      <c r="F159" s="191" t="s">
        <v>38</v>
      </c>
      <c r="G159" s="192"/>
      <c r="H159" s="151"/>
    </row>
    <row r="160" spans="2:8" s="43" customFormat="1" x14ac:dyDescent="0.3">
      <c r="B160" s="40" t="s">
        <v>61</v>
      </c>
      <c r="C160" s="41">
        <v>6</v>
      </c>
      <c r="D160" s="125" t="str">
        <f xml:space="preserve"> IF(C160="","",setValueToTime(C160))</f>
        <v xml:space="preserve"> 30 min</v>
      </c>
      <c r="E160" s="42"/>
      <c r="F160" s="199"/>
      <c r="G160" s="200"/>
      <c r="H160" s="152"/>
    </row>
    <row r="161" spans="2:8" s="43" customFormat="1" ht="27" x14ac:dyDescent="0.3">
      <c r="B161" s="44" t="s">
        <v>60</v>
      </c>
      <c r="C161" s="45">
        <v>17</v>
      </c>
      <c r="D161" s="126" t="str">
        <f t="shared" ref="D161:D167" si="14" xml:space="preserve"> IF(C161="","",setValueToTime(C161))</f>
        <v>1h 25 min</v>
      </c>
      <c r="E161" s="46"/>
      <c r="F161" s="193"/>
      <c r="G161" s="194"/>
      <c r="H161" s="152"/>
    </row>
    <row r="162" spans="2:8" s="43" customFormat="1" x14ac:dyDescent="0.3">
      <c r="B162" s="44" t="s">
        <v>29</v>
      </c>
      <c r="C162" s="45">
        <v>4</v>
      </c>
      <c r="D162" s="126" t="str">
        <f t="shared" si="14"/>
        <v xml:space="preserve"> 20 min</v>
      </c>
      <c r="E162" s="46"/>
      <c r="F162" s="193"/>
      <c r="G162" s="194"/>
      <c r="H162" s="152"/>
    </row>
    <row r="163" spans="2:8" s="43" customFormat="1" x14ac:dyDescent="0.3">
      <c r="B163" s="44"/>
      <c r="C163" s="45"/>
      <c r="D163" s="126" t="str">
        <f t="shared" si="14"/>
        <v/>
      </c>
      <c r="E163" s="46"/>
      <c r="F163" s="193"/>
      <c r="G163" s="194"/>
      <c r="H163" s="152"/>
    </row>
    <row r="164" spans="2:8" s="43" customFormat="1" x14ac:dyDescent="0.3">
      <c r="B164" s="44"/>
      <c r="C164" s="45"/>
      <c r="D164" s="127" t="str">
        <f t="shared" si="14"/>
        <v/>
      </c>
      <c r="E164" s="46"/>
      <c r="F164" s="193"/>
      <c r="G164" s="194"/>
      <c r="H164" s="152"/>
    </row>
    <row r="165" spans="2:8" s="43" customFormat="1" x14ac:dyDescent="0.3">
      <c r="B165" s="44"/>
      <c r="C165" s="45"/>
      <c r="D165" s="127" t="str">
        <f t="shared" si="14"/>
        <v/>
      </c>
      <c r="E165" s="46"/>
      <c r="F165" s="193"/>
      <c r="G165" s="194"/>
      <c r="H165" s="152"/>
    </row>
    <row r="166" spans="2:8" s="43" customFormat="1" x14ac:dyDescent="0.3">
      <c r="B166" s="44"/>
      <c r="C166" s="45"/>
      <c r="D166" s="127" t="str">
        <f t="shared" si="14"/>
        <v/>
      </c>
      <c r="E166" s="46"/>
      <c r="F166" s="193"/>
      <c r="G166" s="194"/>
      <c r="H166" s="152"/>
    </row>
    <row r="167" spans="2:8" s="43" customFormat="1" ht="15" thickBot="1" x14ac:dyDescent="0.35">
      <c r="B167" s="44"/>
      <c r="C167" s="47"/>
      <c r="D167" s="128" t="str">
        <f t="shared" si="14"/>
        <v/>
      </c>
      <c r="E167" s="48"/>
      <c r="F167" s="195"/>
      <c r="G167" s="196"/>
      <c r="H167" s="152"/>
    </row>
    <row r="168" spans="2:8" s="43" customFormat="1" ht="15" thickBot="1" x14ac:dyDescent="0.35">
      <c r="B168" s="86" t="s">
        <v>40</v>
      </c>
      <c r="C168" s="67">
        <f>SUM(C160:C167)</f>
        <v>27</v>
      </c>
      <c r="D168" s="86" t="str">
        <f xml:space="preserve"> setValueToTime(C168)</f>
        <v>2h 15 min</v>
      </c>
      <c r="E168" s="95"/>
      <c r="F168" s="197"/>
      <c r="G168" s="198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33</v>
      </c>
      <c r="C170" s="136">
        <v>13</v>
      </c>
      <c r="D170" s="136"/>
      <c r="E170" s="65" t="s">
        <v>34</v>
      </c>
      <c r="F170" s="77">
        <v>46160</v>
      </c>
      <c r="G170" s="101" t="s">
        <v>66</v>
      </c>
      <c r="H170" s="151"/>
    </row>
    <row r="171" spans="2:8" s="39" customFormat="1" ht="30" customHeight="1" thickBot="1" x14ac:dyDescent="0.3">
      <c r="B171" s="63" t="s">
        <v>35</v>
      </c>
      <c r="C171" s="123" t="s">
        <v>36</v>
      </c>
      <c r="D171" s="124"/>
      <c r="E171" s="63" t="s">
        <v>37</v>
      </c>
      <c r="F171" s="191" t="s">
        <v>38</v>
      </c>
      <c r="G171" s="192"/>
      <c r="H171" s="151"/>
    </row>
    <row r="172" spans="2:8" s="43" customFormat="1" ht="27" x14ac:dyDescent="0.3">
      <c r="B172" s="40" t="s">
        <v>57</v>
      </c>
      <c r="C172" s="41">
        <v>30</v>
      </c>
      <c r="D172" s="125" t="str">
        <f xml:space="preserve"> IF(C172="","",setValueToTime(C172))</f>
        <v>2h 30 min</v>
      </c>
      <c r="E172" s="42"/>
      <c r="F172" s="199"/>
      <c r="G172" s="200"/>
      <c r="H172" s="152"/>
    </row>
    <row r="173" spans="2:8" s="43" customFormat="1" x14ac:dyDescent="0.3">
      <c r="B173" s="44" t="s">
        <v>61</v>
      </c>
      <c r="C173" s="45">
        <v>6</v>
      </c>
      <c r="D173" s="126" t="str">
        <f t="shared" ref="D173:D179" si="15" xml:space="preserve"> IF(C173="","",setValueToTime(C173))</f>
        <v xml:space="preserve"> 30 min</v>
      </c>
      <c r="E173" s="46"/>
      <c r="F173" s="193"/>
      <c r="G173" s="194"/>
      <c r="H173" s="152"/>
    </row>
    <row r="174" spans="2:8" s="43" customFormat="1" x14ac:dyDescent="0.3">
      <c r="B174" s="44"/>
      <c r="C174" s="45"/>
      <c r="D174" s="126" t="str">
        <f t="shared" si="15"/>
        <v/>
      </c>
      <c r="E174" s="46"/>
      <c r="F174" s="193"/>
      <c r="G174" s="194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193"/>
      <c r="G175" s="194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193"/>
      <c r="G176" s="194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193"/>
      <c r="G177" s="194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193"/>
      <c r="G178" s="194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195"/>
      <c r="G179" s="196"/>
      <c r="H179" s="152"/>
    </row>
    <row r="180" spans="2:8" s="43" customFormat="1" ht="15" thickBot="1" x14ac:dyDescent="0.35">
      <c r="B180" s="86" t="s">
        <v>40</v>
      </c>
      <c r="C180" s="67">
        <f>SUM(C172:C179)</f>
        <v>36</v>
      </c>
      <c r="D180" s="86" t="str">
        <f xml:space="preserve"> setValueToTime(C180)</f>
        <v>3h</v>
      </c>
      <c r="E180" s="95"/>
      <c r="F180" s="197"/>
      <c r="G180" s="198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33</v>
      </c>
      <c r="C182" s="136">
        <v>12</v>
      </c>
      <c r="D182" s="136"/>
      <c r="E182" s="65" t="s">
        <v>34</v>
      </c>
      <c r="F182" s="77">
        <v>46155</v>
      </c>
      <c r="G182" s="101" t="s">
        <v>70</v>
      </c>
      <c r="H182" s="151"/>
    </row>
    <row r="183" spans="2:8" s="39" customFormat="1" ht="30" customHeight="1" thickBot="1" x14ac:dyDescent="0.3">
      <c r="B183" s="63" t="s">
        <v>35</v>
      </c>
      <c r="C183" s="123" t="s">
        <v>36</v>
      </c>
      <c r="D183" s="124"/>
      <c r="E183" s="63" t="s">
        <v>37</v>
      </c>
      <c r="F183" s="191" t="s">
        <v>38</v>
      </c>
      <c r="G183" s="192"/>
      <c r="H183" s="151"/>
    </row>
    <row r="184" spans="2:8" s="43" customFormat="1" x14ac:dyDescent="0.3">
      <c r="B184" s="40" t="s">
        <v>53</v>
      </c>
      <c r="C184" s="41">
        <v>6</v>
      </c>
      <c r="D184" s="125" t="str">
        <f xml:space="preserve"> IF(C184="","",setValueToTime(C184))</f>
        <v xml:space="preserve"> 30 min</v>
      </c>
      <c r="E184" s="42"/>
      <c r="F184" s="199"/>
      <c r="G184" s="200"/>
      <c r="H184" s="152"/>
    </row>
    <row r="185" spans="2:8" s="43" customFormat="1" x14ac:dyDescent="0.3">
      <c r="B185" s="44" t="s">
        <v>30</v>
      </c>
      <c r="C185" s="45">
        <v>20</v>
      </c>
      <c r="D185" s="126" t="str">
        <f t="shared" ref="D185:D191" si="16" xml:space="preserve"> IF(C185="","",setValueToTime(C185))</f>
        <v>1h 40 min</v>
      </c>
      <c r="E185" s="46"/>
      <c r="F185" s="193"/>
      <c r="G185" s="194"/>
      <c r="H185" s="152"/>
    </row>
    <row r="186" spans="2:8" s="43" customFormat="1" ht="27" x14ac:dyDescent="0.3">
      <c r="B186" s="44" t="s">
        <v>59</v>
      </c>
      <c r="C186" s="45">
        <v>10</v>
      </c>
      <c r="D186" s="126" t="str">
        <f t="shared" si="16"/>
        <v xml:space="preserve"> 50 min</v>
      </c>
      <c r="E186" s="46"/>
      <c r="F186" s="193"/>
      <c r="G186" s="194"/>
      <c r="H186" s="152"/>
    </row>
    <row r="187" spans="2:8" s="43" customFormat="1" x14ac:dyDescent="0.3">
      <c r="B187" s="44"/>
      <c r="C187" s="45"/>
      <c r="D187" s="126" t="str">
        <f t="shared" si="16"/>
        <v/>
      </c>
      <c r="E187" s="46"/>
      <c r="F187" s="193"/>
      <c r="G187" s="194"/>
      <c r="H187" s="152"/>
    </row>
    <row r="188" spans="2:8" s="43" customFormat="1" x14ac:dyDescent="0.3">
      <c r="B188" s="44"/>
      <c r="C188" s="45"/>
      <c r="D188" s="127" t="str">
        <f t="shared" si="16"/>
        <v/>
      </c>
      <c r="E188" s="46"/>
      <c r="F188" s="193"/>
      <c r="G188" s="194"/>
      <c r="H188" s="152"/>
    </row>
    <row r="189" spans="2:8" s="43" customFormat="1" x14ac:dyDescent="0.3">
      <c r="B189" s="44"/>
      <c r="C189" s="45"/>
      <c r="D189" s="127" t="str">
        <f t="shared" si="16"/>
        <v/>
      </c>
      <c r="E189" s="46"/>
      <c r="F189" s="193"/>
      <c r="G189" s="194"/>
      <c r="H189" s="152"/>
    </row>
    <row r="190" spans="2:8" s="43" customFormat="1" x14ac:dyDescent="0.3">
      <c r="B190" s="44"/>
      <c r="C190" s="45"/>
      <c r="D190" s="127" t="str">
        <f t="shared" si="16"/>
        <v/>
      </c>
      <c r="E190" s="46"/>
      <c r="F190" s="193"/>
      <c r="G190" s="194"/>
      <c r="H190" s="152"/>
    </row>
    <row r="191" spans="2:8" s="43" customFormat="1" ht="15" thickBot="1" x14ac:dyDescent="0.35">
      <c r="B191" s="44"/>
      <c r="C191" s="47"/>
      <c r="D191" s="128" t="str">
        <f t="shared" si="16"/>
        <v/>
      </c>
      <c r="E191" s="48"/>
      <c r="F191" s="195"/>
      <c r="G191" s="196"/>
      <c r="H191" s="152"/>
    </row>
    <row r="192" spans="2:8" s="43" customFormat="1" ht="15" thickBot="1" x14ac:dyDescent="0.35">
      <c r="B192" s="86" t="s">
        <v>40</v>
      </c>
      <c r="C192" s="67">
        <f>SUM(C184:C191)</f>
        <v>36</v>
      </c>
      <c r="D192" s="86" t="str">
        <f xml:space="preserve"> setValueToTime(C192)</f>
        <v>3h</v>
      </c>
      <c r="E192" s="95"/>
      <c r="F192" s="197"/>
      <c r="G192" s="198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33</v>
      </c>
      <c r="C194" s="136">
        <v>11</v>
      </c>
      <c r="D194" s="136"/>
      <c r="E194" s="65" t="s">
        <v>34</v>
      </c>
      <c r="F194" s="77">
        <v>46155</v>
      </c>
      <c r="G194" s="101" t="s">
        <v>66</v>
      </c>
      <c r="H194" s="151"/>
    </row>
    <row r="195" spans="2:8" s="39" customFormat="1" ht="30" customHeight="1" thickBot="1" x14ac:dyDescent="0.3">
      <c r="B195" s="63" t="s">
        <v>35</v>
      </c>
      <c r="C195" s="123" t="s">
        <v>36</v>
      </c>
      <c r="D195" s="124"/>
      <c r="E195" s="63" t="s">
        <v>37</v>
      </c>
      <c r="F195" s="191" t="s">
        <v>38</v>
      </c>
      <c r="G195" s="192"/>
      <c r="H195" s="151"/>
    </row>
    <row r="196" spans="2:8" s="43" customFormat="1" x14ac:dyDescent="0.3">
      <c r="B196" s="40" t="s">
        <v>56</v>
      </c>
      <c r="C196" s="41">
        <v>30</v>
      </c>
      <c r="D196" s="125" t="str">
        <f xml:space="preserve"> IF(C196="","",setValueToTime(C196))</f>
        <v>2h 30 min</v>
      </c>
      <c r="E196" s="42"/>
      <c r="F196" s="199"/>
      <c r="G196" s="200"/>
      <c r="H196" s="152"/>
    </row>
    <row r="197" spans="2:8" s="43" customFormat="1" x14ac:dyDescent="0.3">
      <c r="B197" s="44" t="s">
        <v>53</v>
      </c>
      <c r="C197" s="45">
        <v>15</v>
      </c>
      <c r="D197" s="126" t="str">
        <f t="shared" ref="D197:D203" si="17" xml:space="preserve"> IF(C197="","",setValueToTime(C197))</f>
        <v>1h 15 min</v>
      </c>
      <c r="E197" s="46"/>
      <c r="F197" s="193"/>
      <c r="G197" s="194"/>
      <c r="H197" s="152"/>
    </row>
    <row r="198" spans="2:8" s="43" customFormat="1" x14ac:dyDescent="0.3">
      <c r="B198" s="44"/>
      <c r="C198" s="45"/>
      <c r="D198" s="126" t="str">
        <f t="shared" si="17"/>
        <v/>
      </c>
      <c r="E198" s="46"/>
      <c r="F198" s="193"/>
      <c r="G198" s="194"/>
      <c r="H198" s="152"/>
    </row>
    <row r="199" spans="2:8" s="43" customFormat="1" x14ac:dyDescent="0.3">
      <c r="B199" s="44"/>
      <c r="C199" s="45"/>
      <c r="D199" s="126" t="str">
        <f t="shared" si="17"/>
        <v/>
      </c>
      <c r="E199" s="46"/>
      <c r="F199" s="193"/>
      <c r="G199" s="194"/>
      <c r="H199" s="152"/>
    </row>
    <row r="200" spans="2:8" s="43" customFormat="1" x14ac:dyDescent="0.3">
      <c r="B200" s="44"/>
      <c r="C200" s="45"/>
      <c r="D200" s="127" t="str">
        <f t="shared" si="17"/>
        <v/>
      </c>
      <c r="E200" s="46"/>
      <c r="F200" s="193"/>
      <c r="G200" s="194"/>
      <c r="H200" s="152"/>
    </row>
    <row r="201" spans="2:8" s="43" customFormat="1" x14ac:dyDescent="0.3">
      <c r="B201" s="44"/>
      <c r="C201" s="45"/>
      <c r="D201" s="127" t="str">
        <f t="shared" si="17"/>
        <v/>
      </c>
      <c r="E201" s="46"/>
      <c r="F201" s="193"/>
      <c r="G201" s="194"/>
      <c r="H201" s="152"/>
    </row>
    <row r="202" spans="2:8" s="43" customFormat="1" x14ac:dyDescent="0.3">
      <c r="B202" s="44"/>
      <c r="C202" s="45"/>
      <c r="D202" s="127" t="str">
        <f t="shared" si="17"/>
        <v/>
      </c>
      <c r="E202" s="46"/>
      <c r="F202" s="193"/>
      <c r="G202" s="194"/>
      <c r="H202" s="152"/>
    </row>
    <row r="203" spans="2:8" s="43" customFormat="1" ht="15" thickBot="1" x14ac:dyDescent="0.35">
      <c r="B203" s="44"/>
      <c r="C203" s="47"/>
      <c r="D203" s="128" t="str">
        <f t="shared" si="17"/>
        <v/>
      </c>
      <c r="E203" s="48"/>
      <c r="F203" s="195"/>
      <c r="G203" s="196"/>
      <c r="H203" s="152"/>
    </row>
    <row r="204" spans="2:8" s="43" customFormat="1" ht="15" thickBot="1" x14ac:dyDescent="0.35">
      <c r="B204" s="86" t="s">
        <v>40</v>
      </c>
      <c r="C204" s="67">
        <f>SUM(C196:C203)</f>
        <v>45</v>
      </c>
      <c r="D204" s="86" t="str">
        <f xml:space="preserve"> setValueToTime(C204)</f>
        <v>3h 45 min</v>
      </c>
      <c r="E204" s="95"/>
      <c r="F204" s="197"/>
      <c r="G204" s="198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33</v>
      </c>
      <c r="C206" s="136">
        <v>10</v>
      </c>
      <c r="D206" s="136"/>
      <c r="E206" s="65" t="s">
        <v>34</v>
      </c>
      <c r="F206" s="77">
        <v>46153</v>
      </c>
      <c r="G206" s="101" t="s">
        <v>70</v>
      </c>
      <c r="H206" s="151"/>
    </row>
    <row r="207" spans="2:8" s="39" customFormat="1" ht="30" customHeight="1" thickBot="1" x14ac:dyDescent="0.3">
      <c r="B207" s="63" t="s">
        <v>35</v>
      </c>
      <c r="C207" s="123" t="s">
        <v>36</v>
      </c>
      <c r="D207" s="124"/>
      <c r="E207" s="63" t="s">
        <v>37</v>
      </c>
      <c r="F207" s="191" t="s">
        <v>38</v>
      </c>
      <c r="G207" s="192"/>
      <c r="H207" s="151"/>
    </row>
    <row r="208" spans="2:8" s="43" customFormat="1" ht="27" x14ac:dyDescent="0.3">
      <c r="B208" s="40" t="s">
        <v>63</v>
      </c>
      <c r="C208" s="41">
        <v>6</v>
      </c>
      <c r="D208" s="125" t="str">
        <f xml:space="preserve"> IF(C208="","",setValueToTime(C208))</f>
        <v xml:space="preserve"> 30 min</v>
      </c>
      <c r="E208" s="42"/>
      <c r="F208" s="199"/>
      <c r="G208" s="200"/>
      <c r="H208" s="152"/>
    </row>
    <row r="209" spans="2:8" s="43" customFormat="1" x14ac:dyDescent="0.3">
      <c r="B209" s="44" t="s">
        <v>56</v>
      </c>
      <c r="C209" s="45">
        <v>17</v>
      </c>
      <c r="D209" s="126" t="str">
        <f t="shared" ref="D209:D215" si="18" xml:space="preserve"> IF(C209="","",setValueToTime(C209))</f>
        <v>1h 25 min</v>
      </c>
      <c r="E209" s="46"/>
      <c r="F209" s="193"/>
      <c r="G209" s="194"/>
      <c r="H209" s="152"/>
    </row>
    <row r="210" spans="2:8" s="43" customFormat="1" x14ac:dyDescent="0.3">
      <c r="B210" s="44" t="s">
        <v>29</v>
      </c>
      <c r="C210" s="45">
        <v>4</v>
      </c>
      <c r="D210" s="126" t="str">
        <f t="shared" si="18"/>
        <v xml:space="preserve"> 20 min</v>
      </c>
      <c r="E210" s="46"/>
      <c r="F210" s="193"/>
      <c r="G210" s="194"/>
      <c r="H210" s="152"/>
    </row>
    <row r="211" spans="2:8" s="43" customFormat="1" x14ac:dyDescent="0.3">
      <c r="B211" s="44"/>
      <c r="C211" s="45"/>
      <c r="D211" s="126" t="str">
        <f t="shared" si="18"/>
        <v/>
      </c>
      <c r="E211" s="46"/>
      <c r="F211" s="193"/>
      <c r="G211" s="194"/>
      <c r="H211" s="152"/>
    </row>
    <row r="212" spans="2:8" s="43" customFormat="1" x14ac:dyDescent="0.3">
      <c r="B212" s="44"/>
      <c r="C212" s="45"/>
      <c r="D212" s="127" t="str">
        <f t="shared" si="18"/>
        <v/>
      </c>
      <c r="E212" s="46"/>
      <c r="F212" s="193"/>
      <c r="G212" s="194"/>
      <c r="H212" s="152"/>
    </row>
    <row r="213" spans="2:8" s="43" customFormat="1" x14ac:dyDescent="0.3">
      <c r="B213" s="44"/>
      <c r="C213" s="45"/>
      <c r="D213" s="127" t="str">
        <f t="shared" si="18"/>
        <v/>
      </c>
      <c r="E213" s="46"/>
      <c r="F213" s="193"/>
      <c r="G213" s="194"/>
      <c r="H213" s="152"/>
    </row>
    <row r="214" spans="2:8" s="43" customFormat="1" x14ac:dyDescent="0.3">
      <c r="B214" s="44"/>
      <c r="C214" s="45"/>
      <c r="D214" s="127" t="str">
        <f t="shared" si="18"/>
        <v/>
      </c>
      <c r="E214" s="46"/>
      <c r="F214" s="193"/>
      <c r="G214" s="194"/>
      <c r="H214" s="152"/>
    </row>
    <row r="215" spans="2:8" s="43" customFormat="1" ht="15" thickBot="1" x14ac:dyDescent="0.35">
      <c r="B215" s="44"/>
      <c r="C215" s="47"/>
      <c r="D215" s="128" t="str">
        <f t="shared" si="18"/>
        <v/>
      </c>
      <c r="E215" s="48"/>
      <c r="F215" s="195"/>
      <c r="G215" s="196"/>
      <c r="H215" s="152"/>
    </row>
    <row r="216" spans="2:8" s="43" customFormat="1" ht="15" thickBot="1" x14ac:dyDescent="0.35">
      <c r="B216" s="86" t="s">
        <v>40</v>
      </c>
      <c r="C216" s="67">
        <f>SUM(C208:C215)</f>
        <v>27</v>
      </c>
      <c r="D216" s="86" t="str">
        <f xml:space="preserve"> setValueToTime(C216)</f>
        <v>2h 15 min</v>
      </c>
      <c r="E216" s="95"/>
      <c r="F216" s="197"/>
      <c r="G216" s="198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33</v>
      </c>
      <c r="C218" s="136">
        <v>9</v>
      </c>
      <c r="D218" s="136"/>
      <c r="E218" s="65" t="s">
        <v>34</v>
      </c>
      <c r="F218" s="77">
        <v>46153</v>
      </c>
      <c r="G218" s="101" t="s">
        <v>66</v>
      </c>
      <c r="H218" s="151"/>
    </row>
    <row r="219" spans="2:8" s="39" customFormat="1" ht="30" customHeight="1" thickBot="1" x14ac:dyDescent="0.3">
      <c r="B219" s="63" t="s">
        <v>35</v>
      </c>
      <c r="C219" s="123" t="s">
        <v>36</v>
      </c>
      <c r="D219" s="124"/>
      <c r="E219" s="63" t="s">
        <v>37</v>
      </c>
      <c r="F219" s="191" t="s">
        <v>38</v>
      </c>
      <c r="G219" s="192"/>
      <c r="H219" s="151"/>
    </row>
    <row r="220" spans="2:8" s="43" customFormat="1" x14ac:dyDescent="0.3">
      <c r="B220" s="40" t="s">
        <v>55</v>
      </c>
      <c r="C220" s="41">
        <v>30</v>
      </c>
      <c r="D220" s="125" t="str">
        <f xml:space="preserve"> IF(C220="","",setValueToTime(C220))</f>
        <v>2h 30 min</v>
      </c>
      <c r="E220" s="42"/>
      <c r="F220" s="199"/>
      <c r="G220" s="200"/>
      <c r="H220" s="152"/>
    </row>
    <row r="221" spans="2:8" s="43" customFormat="1" ht="27" x14ac:dyDescent="0.3">
      <c r="B221" s="44" t="s">
        <v>63</v>
      </c>
      <c r="C221" s="45">
        <v>6</v>
      </c>
      <c r="D221" s="126" t="str">
        <f t="shared" ref="D221:D227" si="19" xml:space="preserve"> IF(C221="","",setValueToTime(C221))</f>
        <v xml:space="preserve"> 30 min</v>
      </c>
      <c r="E221" s="46"/>
      <c r="F221" s="193"/>
      <c r="G221" s="194"/>
      <c r="H221" s="152"/>
    </row>
    <row r="222" spans="2:8" s="43" customFormat="1" x14ac:dyDescent="0.3">
      <c r="B222" s="44"/>
      <c r="C222" s="45"/>
      <c r="D222" s="126" t="str">
        <f t="shared" si="19"/>
        <v/>
      </c>
      <c r="E222" s="46"/>
      <c r="F222" s="193"/>
      <c r="G222" s="194"/>
      <c r="H222" s="152"/>
    </row>
    <row r="223" spans="2:8" s="43" customFormat="1" x14ac:dyDescent="0.3">
      <c r="B223" s="44"/>
      <c r="C223" s="45"/>
      <c r="D223" s="126" t="str">
        <f t="shared" si="19"/>
        <v/>
      </c>
      <c r="E223" s="46"/>
      <c r="F223" s="193"/>
      <c r="G223" s="194"/>
      <c r="H223" s="152"/>
    </row>
    <row r="224" spans="2:8" s="43" customFormat="1" x14ac:dyDescent="0.3">
      <c r="B224" s="44"/>
      <c r="C224" s="45"/>
      <c r="D224" s="127" t="str">
        <f t="shared" si="19"/>
        <v/>
      </c>
      <c r="E224" s="46"/>
      <c r="F224" s="193"/>
      <c r="G224" s="194"/>
      <c r="H224" s="152"/>
    </row>
    <row r="225" spans="2:8" s="43" customFormat="1" x14ac:dyDescent="0.3">
      <c r="B225" s="44"/>
      <c r="C225" s="45"/>
      <c r="D225" s="127" t="str">
        <f t="shared" si="19"/>
        <v/>
      </c>
      <c r="E225" s="46"/>
      <c r="F225" s="193"/>
      <c r="G225" s="194"/>
      <c r="H225" s="152"/>
    </row>
    <row r="226" spans="2:8" s="43" customFormat="1" x14ac:dyDescent="0.3">
      <c r="B226" s="44"/>
      <c r="C226" s="45"/>
      <c r="D226" s="127" t="str">
        <f t="shared" si="19"/>
        <v/>
      </c>
      <c r="E226" s="46"/>
      <c r="F226" s="193"/>
      <c r="G226" s="194"/>
      <c r="H226" s="152"/>
    </row>
    <row r="227" spans="2:8" s="43" customFormat="1" ht="15" thickBot="1" x14ac:dyDescent="0.35">
      <c r="B227" s="44"/>
      <c r="C227" s="47"/>
      <c r="D227" s="128" t="str">
        <f t="shared" si="19"/>
        <v/>
      </c>
      <c r="E227" s="48"/>
      <c r="F227" s="195"/>
      <c r="G227" s="196"/>
      <c r="H227" s="152"/>
    </row>
    <row r="228" spans="2:8" s="43" customFormat="1" ht="15" thickBot="1" x14ac:dyDescent="0.35">
      <c r="B228" s="86" t="s">
        <v>40</v>
      </c>
      <c r="C228" s="67">
        <f>SUM(C220:C227)</f>
        <v>36</v>
      </c>
      <c r="D228" s="86" t="str">
        <f xml:space="preserve"> setValueToTime(C228)</f>
        <v>3h</v>
      </c>
      <c r="E228" s="95"/>
      <c r="F228" s="197"/>
      <c r="G228" s="198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33</v>
      </c>
      <c r="C230" s="136">
        <v>8</v>
      </c>
      <c r="D230" s="136"/>
      <c r="E230" s="65" t="s">
        <v>34</v>
      </c>
      <c r="F230" s="77">
        <v>46150</v>
      </c>
      <c r="G230" s="101" t="s">
        <v>70</v>
      </c>
      <c r="H230" s="151"/>
    </row>
    <row r="231" spans="2:8" s="39" customFormat="1" ht="30" customHeight="1" thickBot="1" x14ac:dyDescent="0.3">
      <c r="B231" s="63" t="s">
        <v>35</v>
      </c>
      <c r="C231" s="123" t="s">
        <v>36</v>
      </c>
      <c r="D231" s="124"/>
      <c r="E231" s="63" t="s">
        <v>37</v>
      </c>
      <c r="F231" s="191" t="s">
        <v>38</v>
      </c>
      <c r="G231" s="192"/>
      <c r="H231" s="151"/>
    </row>
    <row r="232" spans="2:8" s="43" customFormat="1" x14ac:dyDescent="0.3">
      <c r="B232" s="40" t="s">
        <v>50</v>
      </c>
      <c r="C232" s="41">
        <v>8</v>
      </c>
      <c r="D232" s="125" t="str">
        <f xml:space="preserve"> IF(C232="","",setValueToTime(C232))</f>
        <v xml:space="preserve"> 40 min</v>
      </c>
      <c r="E232" s="42"/>
      <c r="F232" s="199"/>
      <c r="G232" s="200"/>
      <c r="H232" s="152"/>
    </row>
    <row r="233" spans="2:8" s="43" customFormat="1" x14ac:dyDescent="0.3">
      <c r="B233" s="44" t="s">
        <v>51</v>
      </c>
      <c r="C233" s="45">
        <v>15</v>
      </c>
      <c r="D233" s="126" t="str">
        <f t="shared" ref="D233:D239" si="20" xml:space="preserve"> IF(C233="","",setValueToTime(C233))</f>
        <v>1h 15 min</v>
      </c>
      <c r="E233" s="46"/>
      <c r="F233" s="193"/>
      <c r="G233" s="194"/>
      <c r="H233" s="152"/>
    </row>
    <row r="234" spans="2:8" s="43" customFormat="1" x14ac:dyDescent="0.3">
      <c r="B234" s="44" t="s">
        <v>30</v>
      </c>
      <c r="C234" s="45">
        <v>10</v>
      </c>
      <c r="D234" s="126" t="str">
        <f t="shared" si="20"/>
        <v xml:space="preserve"> 50 min</v>
      </c>
      <c r="E234" s="46"/>
      <c r="F234" s="193"/>
      <c r="G234" s="194"/>
      <c r="H234" s="152"/>
    </row>
    <row r="235" spans="2:8" s="43" customFormat="1" x14ac:dyDescent="0.3">
      <c r="B235" s="44" t="s">
        <v>29</v>
      </c>
      <c r="C235" s="45">
        <v>3</v>
      </c>
      <c r="D235" s="126" t="str">
        <f t="shared" si="20"/>
        <v xml:space="preserve"> 15 min</v>
      </c>
      <c r="E235" s="46"/>
      <c r="F235" s="193"/>
      <c r="G235" s="194"/>
      <c r="H235" s="152"/>
    </row>
    <row r="236" spans="2:8" s="43" customFormat="1" x14ac:dyDescent="0.3">
      <c r="B236" s="44"/>
      <c r="C236" s="45"/>
      <c r="D236" s="127" t="str">
        <f t="shared" si="20"/>
        <v/>
      </c>
      <c r="E236" s="46"/>
      <c r="F236" s="193"/>
      <c r="G236" s="194"/>
      <c r="H236" s="152"/>
    </row>
    <row r="237" spans="2:8" s="43" customFormat="1" x14ac:dyDescent="0.3">
      <c r="B237" s="44"/>
      <c r="C237" s="45"/>
      <c r="D237" s="127" t="str">
        <f t="shared" si="20"/>
        <v/>
      </c>
      <c r="E237" s="46"/>
      <c r="F237" s="193"/>
      <c r="G237" s="194"/>
      <c r="H237" s="152"/>
    </row>
    <row r="238" spans="2:8" s="43" customFormat="1" x14ac:dyDescent="0.3">
      <c r="B238" s="44"/>
      <c r="C238" s="45"/>
      <c r="D238" s="127" t="str">
        <f t="shared" si="20"/>
        <v/>
      </c>
      <c r="E238" s="46"/>
      <c r="F238" s="193"/>
      <c r="G238" s="194"/>
      <c r="H238" s="152"/>
    </row>
    <row r="239" spans="2:8" s="43" customFormat="1" ht="15" thickBot="1" x14ac:dyDescent="0.35">
      <c r="B239" s="44"/>
      <c r="C239" s="47"/>
      <c r="D239" s="128" t="str">
        <f t="shared" si="20"/>
        <v/>
      </c>
      <c r="E239" s="48"/>
      <c r="F239" s="195"/>
      <c r="G239" s="196"/>
      <c r="H239" s="152"/>
    </row>
    <row r="240" spans="2:8" s="43" customFormat="1" ht="15" thickBot="1" x14ac:dyDescent="0.35">
      <c r="B240" s="86" t="s">
        <v>40</v>
      </c>
      <c r="C240" s="67">
        <f>SUM(C232:C239)</f>
        <v>36</v>
      </c>
      <c r="D240" s="86" t="str">
        <f xml:space="preserve"> setValueToTime(C240)</f>
        <v>3h</v>
      </c>
      <c r="E240" s="95"/>
      <c r="F240" s="197"/>
      <c r="G240" s="198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33</v>
      </c>
      <c r="C242" s="136">
        <v>7</v>
      </c>
      <c r="D242" s="136"/>
      <c r="E242" s="65" t="s">
        <v>34</v>
      </c>
      <c r="F242" s="77">
        <v>46150</v>
      </c>
      <c r="G242" s="101" t="s">
        <v>66</v>
      </c>
      <c r="H242" s="151"/>
    </row>
    <row r="243" spans="2:8" s="39" customFormat="1" ht="30" customHeight="1" thickBot="1" x14ac:dyDescent="0.3">
      <c r="B243" s="63" t="s">
        <v>35</v>
      </c>
      <c r="C243" s="123" t="s">
        <v>36</v>
      </c>
      <c r="D243" s="124"/>
      <c r="E243" s="63" t="s">
        <v>37</v>
      </c>
      <c r="F243" s="191" t="s">
        <v>38</v>
      </c>
      <c r="G243" s="192"/>
      <c r="H243" s="151"/>
    </row>
    <row r="244" spans="2:8" s="43" customFormat="1" x14ac:dyDescent="0.3">
      <c r="B244" s="40" t="s">
        <v>64</v>
      </c>
      <c r="C244" s="41">
        <v>37</v>
      </c>
      <c r="D244" s="125" t="str">
        <f xml:space="preserve"> IF(C244="","",setValueToTime(C244))</f>
        <v>3h 5 min</v>
      </c>
      <c r="E244" s="42"/>
      <c r="F244" s="199"/>
      <c r="G244" s="200"/>
      <c r="H244" s="152"/>
    </row>
    <row r="245" spans="2:8" s="43" customFormat="1" x14ac:dyDescent="0.3">
      <c r="B245" s="44" t="s">
        <v>50</v>
      </c>
      <c r="C245" s="45">
        <v>8</v>
      </c>
      <c r="D245" s="126" t="str">
        <f t="shared" ref="D245:D251" si="21" xml:space="preserve"> IF(C245="","",setValueToTime(C245))</f>
        <v xml:space="preserve"> 40 min</v>
      </c>
      <c r="E245" s="46"/>
      <c r="F245" s="193"/>
      <c r="G245" s="194"/>
      <c r="H245" s="152"/>
    </row>
    <row r="246" spans="2:8" s="43" customFormat="1" x14ac:dyDescent="0.3">
      <c r="B246" s="44"/>
      <c r="C246" s="45"/>
      <c r="D246" s="126" t="str">
        <f t="shared" si="21"/>
        <v/>
      </c>
      <c r="E246" s="46"/>
      <c r="F246" s="193"/>
      <c r="G246" s="194"/>
      <c r="H246" s="152"/>
    </row>
    <row r="247" spans="2:8" s="43" customFormat="1" x14ac:dyDescent="0.3">
      <c r="B247" s="44"/>
      <c r="C247" s="45"/>
      <c r="D247" s="126" t="str">
        <f t="shared" si="21"/>
        <v/>
      </c>
      <c r="E247" s="46"/>
      <c r="F247" s="193"/>
      <c r="G247" s="194"/>
      <c r="H247" s="152"/>
    </row>
    <row r="248" spans="2:8" s="43" customFormat="1" x14ac:dyDescent="0.3">
      <c r="B248" s="44"/>
      <c r="C248" s="45"/>
      <c r="D248" s="127" t="str">
        <f t="shared" si="21"/>
        <v/>
      </c>
      <c r="E248" s="46"/>
      <c r="F248" s="193"/>
      <c r="G248" s="194"/>
      <c r="H248" s="152"/>
    </row>
    <row r="249" spans="2:8" s="43" customFormat="1" x14ac:dyDescent="0.3">
      <c r="B249" s="44"/>
      <c r="C249" s="45"/>
      <c r="D249" s="127" t="str">
        <f t="shared" si="21"/>
        <v/>
      </c>
      <c r="E249" s="46"/>
      <c r="F249" s="193"/>
      <c r="G249" s="194"/>
      <c r="H249" s="152"/>
    </row>
    <row r="250" spans="2:8" s="43" customFormat="1" x14ac:dyDescent="0.3">
      <c r="B250" s="44"/>
      <c r="C250" s="45"/>
      <c r="D250" s="127" t="str">
        <f t="shared" si="21"/>
        <v/>
      </c>
      <c r="E250" s="46"/>
      <c r="F250" s="193"/>
      <c r="G250" s="194"/>
      <c r="H250" s="152"/>
    </row>
    <row r="251" spans="2:8" s="43" customFormat="1" ht="15" thickBot="1" x14ac:dyDescent="0.35">
      <c r="B251" s="44"/>
      <c r="C251" s="47"/>
      <c r="D251" s="128" t="str">
        <f t="shared" si="21"/>
        <v/>
      </c>
      <c r="E251" s="48"/>
      <c r="F251" s="195"/>
      <c r="G251" s="196"/>
      <c r="H251" s="152"/>
    </row>
    <row r="252" spans="2:8" s="43" customFormat="1" ht="15" thickBot="1" x14ac:dyDescent="0.35">
      <c r="B252" s="86" t="s">
        <v>40</v>
      </c>
      <c r="C252" s="67">
        <f>SUM(C244:C251)</f>
        <v>45</v>
      </c>
      <c r="D252" s="86" t="str">
        <f xml:space="preserve"> setValueToTime(C252)</f>
        <v>3h 45 min</v>
      </c>
      <c r="E252" s="95"/>
      <c r="F252" s="197"/>
      <c r="G252" s="198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33</v>
      </c>
      <c r="C254" s="136">
        <v>6</v>
      </c>
      <c r="D254" s="136"/>
      <c r="E254" s="65" t="s">
        <v>34</v>
      </c>
      <c r="F254" s="77">
        <v>46149</v>
      </c>
      <c r="G254" s="101" t="s">
        <v>70</v>
      </c>
      <c r="H254" s="151"/>
    </row>
    <row r="255" spans="2:8" s="39" customFormat="1" ht="30" customHeight="1" thickBot="1" x14ac:dyDescent="0.3">
      <c r="B255" s="63" t="s">
        <v>35</v>
      </c>
      <c r="C255" s="123" t="s">
        <v>36</v>
      </c>
      <c r="D255" s="124"/>
      <c r="E255" s="63" t="s">
        <v>37</v>
      </c>
      <c r="F255" s="191" t="s">
        <v>38</v>
      </c>
      <c r="G255" s="192"/>
      <c r="H255" s="151"/>
    </row>
    <row r="256" spans="2:8" s="43" customFormat="1" x14ac:dyDescent="0.3">
      <c r="B256" s="40" t="s">
        <v>52</v>
      </c>
      <c r="C256" s="41">
        <v>33</v>
      </c>
      <c r="D256" s="125" t="str">
        <f xml:space="preserve"> IF(C256="","",setValueToTime(C256))</f>
        <v>2h 45 min</v>
      </c>
      <c r="E256" s="42"/>
      <c r="F256" s="199"/>
      <c r="G256" s="200"/>
      <c r="H256" s="152"/>
    </row>
    <row r="257" spans="2:8" s="43" customFormat="1" x14ac:dyDescent="0.3">
      <c r="B257" s="44" t="s">
        <v>29</v>
      </c>
      <c r="C257" s="45">
        <v>3</v>
      </c>
      <c r="D257" s="126" t="str">
        <f t="shared" ref="D257:D263" si="22" xml:space="preserve"> IF(C257="","",setValueToTime(C257))</f>
        <v xml:space="preserve"> 15 min</v>
      </c>
      <c r="E257" s="46"/>
      <c r="F257" s="193"/>
      <c r="G257" s="194"/>
      <c r="H257" s="152"/>
    </row>
    <row r="258" spans="2:8" s="43" customFormat="1" x14ac:dyDescent="0.3">
      <c r="B258" s="44"/>
      <c r="C258" s="45"/>
      <c r="D258" s="126" t="str">
        <f t="shared" si="22"/>
        <v/>
      </c>
      <c r="E258" s="46"/>
      <c r="F258" s="193"/>
      <c r="G258" s="194"/>
      <c r="H258" s="152"/>
    </row>
    <row r="259" spans="2:8" s="43" customFormat="1" x14ac:dyDescent="0.3">
      <c r="B259" s="44"/>
      <c r="C259" s="45"/>
      <c r="D259" s="126" t="str">
        <f t="shared" si="22"/>
        <v/>
      </c>
      <c r="E259" s="46"/>
      <c r="F259" s="193"/>
      <c r="G259" s="194"/>
      <c r="H259" s="152"/>
    </row>
    <row r="260" spans="2:8" s="43" customFormat="1" x14ac:dyDescent="0.3">
      <c r="B260" s="44"/>
      <c r="C260" s="45"/>
      <c r="D260" s="127" t="str">
        <f t="shared" si="22"/>
        <v/>
      </c>
      <c r="E260" s="46"/>
      <c r="F260" s="193"/>
      <c r="G260" s="194"/>
      <c r="H260" s="152"/>
    </row>
    <row r="261" spans="2:8" s="43" customFormat="1" x14ac:dyDescent="0.3">
      <c r="B261" s="44"/>
      <c r="C261" s="45"/>
      <c r="D261" s="127" t="str">
        <f t="shared" si="22"/>
        <v/>
      </c>
      <c r="E261" s="46"/>
      <c r="F261" s="193"/>
      <c r="G261" s="194"/>
      <c r="H261" s="152"/>
    </row>
    <row r="262" spans="2:8" s="43" customFormat="1" x14ac:dyDescent="0.3">
      <c r="B262" s="44"/>
      <c r="C262" s="45"/>
      <c r="D262" s="127" t="str">
        <f t="shared" si="22"/>
        <v/>
      </c>
      <c r="E262" s="46"/>
      <c r="F262" s="193"/>
      <c r="G262" s="194"/>
      <c r="H262" s="152"/>
    </row>
    <row r="263" spans="2:8" s="43" customFormat="1" ht="15" thickBot="1" x14ac:dyDescent="0.35">
      <c r="B263" s="44"/>
      <c r="C263" s="47"/>
      <c r="D263" s="128" t="str">
        <f t="shared" si="22"/>
        <v/>
      </c>
      <c r="E263" s="48"/>
      <c r="F263" s="195"/>
      <c r="G263" s="196"/>
      <c r="H263" s="152"/>
    </row>
    <row r="264" spans="2:8" s="43" customFormat="1" ht="15" thickBot="1" x14ac:dyDescent="0.35">
      <c r="B264" s="86" t="s">
        <v>40</v>
      </c>
      <c r="C264" s="67">
        <f>SUM(C256:C263)</f>
        <v>36</v>
      </c>
      <c r="D264" s="86" t="str">
        <f xml:space="preserve"> setValueToTime(C264)</f>
        <v>3h</v>
      </c>
      <c r="E264" s="95"/>
      <c r="F264" s="197"/>
      <c r="G264" s="198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33</v>
      </c>
      <c r="C266" s="136">
        <v>5</v>
      </c>
      <c r="D266" s="136"/>
      <c r="E266" s="65" t="s">
        <v>34</v>
      </c>
      <c r="F266" s="77">
        <v>46149</v>
      </c>
      <c r="G266" s="101" t="s">
        <v>66</v>
      </c>
      <c r="H266" s="151"/>
    </row>
    <row r="267" spans="2:8" s="39" customFormat="1" ht="30" customHeight="1" thickBot="1" x14ac:dyDescent="0.3">
      <c r="B267" s="63" t="s">
        <v>35</v>
      </c>
      <c r="C267" s="123" t="s">
        <v>36</v>
      </c>
      <c r="D267" s="124"/>
      <c r="E267" s="63" t="s">
        <v>37</v>
      </c>
      <c r="F267" s="191" t="s">
        <v>38</v>
      </c>
      <c r="G267" s="192"/>
      <c r="H267" s="151"/>
    </row>
    <row r="268" spans="2:8" s="43" customFormat="1" x14ac:dyDescent="0.3">
      <c r="B268" s="40" t="s">
        <v>30</v>
      </c>
      <c r="C268" s="41">
        <v>10</v>
      </c>
      <c r="D268" s="125" t="str">
        <f xml:space="preserve"> IF(C268="","",setValueToTime(C268))</f>
        <v xml:space="preserve"> 50 min</v>
      </c>
      <c r="E268" s="42"/>
      <c r="F268" s="199"/>
      <c r="G268" s="200"/>
      <c r="H268" s="152"/>
    </row>
    <row r="269" spans="2:8" s="43" customFormat="1" ht="27" x14ac:dyDescent="0.3">
      <c r="B269" s="44" t="s">
        <v>54</v>
      </c>
      <c r="C269" s="45">
        <v>6</v>
      </c>
      <c r="D269" s="126" t="str">
        <f t="shared" ref="D269:D275" si="23" xml:space="preserve"> IF(C269="","",setValueToTime(C269))</f>
        <v xml:space="preserve"> 30 min</v>
      </c>
      <c r="E269" s="46"/>
      <c r="F269" s="193"/>
      <c r="G269" s="194"/>
      <c r="H269" s="152"/>
    </row>
    <row r="270" spans="2:8" s="43" customFormat="1" x14ac:dyDescent="0.3">
      <c r="B270" s="44" t="s">
        <v>65</v>
      </c>
      <c r="C270" s="45">
        <v>15</v>
      </c>
      <c r="D270" s="126" t="str">
        <f t="shared" si="23"/>
        <v>1h 15 min</v>
      </c>
      <c r="E270" s="46"/>
      <c r="F270" s="193"/>
      <c r="G270" s="194"/>
      <c r="H270" s="152"/>
    </row>
    <row r="271" spans="2:8" s="43" customFormat="1" x14ac:dyDescent="0.3">
      <c r="B271" s="44" t="s">
        <v>52</v>
      </c>
      <c r="C271" s="45">
        <v>14</v>
      </c>
      <c r="D271" s="126" t="str">
        <f t="shared" si="23"/>
        <v>1h 10 min</v>
      </c>
      <c r="E271" s="46"/>
      <c r="F271" s="193"/>
      <c r="G271" s="194"/>
      <c r="H271" s="152"/>
    </row>
    <row r="272" spans="2:8" s="43" customFormat="1" x14ac:dyDescent="0.3">
      <c r="B272" s="44"/>
      <c r="C272" s="45"/>
      <c r="D272" s="127" t="str">
        <f t="shared" si="23"/>
        <v/>
      </c>
      <c r="E272" s="46"/>
      <c r="F272" s="193"/>
      <c r="G272" s="194"/>
      <c r="H272" s="152"/>
    </row>
    <row r="273" spans="2:8" s="43" customFormat="1" x14ac:dyDescent="0.3">
      <c r="B273" s="44"/>
      <c r="C273" s="45"/>
      <c r="D273" s="127" t="str">
        <f t="shared" si="23"/>
        <v/>
      </c>
      <c r="E273" s="46"/>
      <c r="F273" s="193"/>
      <c r="G273" s="194"/>
      <c r="H273" s="152"/>
    </row>
    <row r="274" spans="2:8" s="43" customFormat="1" x14ac:dyDescent="0.3">
      <c r="B274" s="44"/>
      <c r="C274" s="45"/>
      <c r="D274" s="127" t="str">
        <f t="shared" si="23"/>
        <v/>
      </c>
      <c r="E274" s="46"/>
      <c r="F274" s="193"/>
      <c r="G274" s="194"/>
      <c r="H274" s="152"/>
    </row>
    <row r="275" spans="2:8" s="43" customFormat="1" ht="15" thickBot="1" x14ac:dyDescent="0.35">
      <c r="B275" s="44"/>
      <c r="C275" s="47"/>
      <c r="D275" s="128" t="str">
        <f t="shared" si="23"/>
        <v/>
      </c>
      <c r="E275" s="48"/>
      <c r="F275" s="195"/>
      <c r="G275" s="196"/>
      <c r="H275" s="152"/>
    </row>
    <row r="276" spans="2:8" s="43" customFormat="1" ht="15" thickBot="1" x14ac:dyDescent="0.35">
      <c r="B276" s="86" t="s">
        <v>40</v>
      </c>
      <c r="C276" s="67">
        <f>SUM(C268:C275)</f>
        <v>45</v>
      </c>
      <c r="D276" s="86" t="str">
        <f xml:space="preserve"> setValueToTime(C276)</f>
        <v>3h 45 min</v>
      </c>
      <c r="E276" s="95"/>
      <c r="F276" s="197"/>
      <c r="G276" s="198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33</v>
      </c>
      <c r="C278" s="136">
        <v>4</v>
      </c>
      <c r="D278" s="136"/>
      <c r="E278" s="65" t="s">
        <v>34</v>
      </c>
      <c r="F278" s="77">
        <v>46148</v>
      </c>
      <c r="G278" s="101" t="s">
        <v>70</v>
      </c>
      <c r="H278" s="151"/>
    </row>
    <row r="279" spans="2:8" s="39" customFormat="1" ht="30" customHeight="1" thickBot="1" x14ac:dyDescent="0.3">
      <c r="B279" s="63" t="s">
        <v>35</v>
      </c>
      <c r="C279" s="123" t="s">
        <v>36</v>
      </c>
      <c r="D279" s="124"/>
      <c r="E279" s="63" t="s">
        <v>37</v>
      </c>
      <c r="F279" s="191" t="s">
        <v>38</v>
      </c>
      <c r="G279" s="192"/>
      <c r="H279" s="151"/>
    </row>
    <row r="280" spans="2:8" s="43" customFormat="1" ht="27" x14ac:dyDescent="0.3">
      <c r="B280" s="40" t="s">
        <v>69</v>
      </c>
      <c r="C280" s="41">
        <v>33</v>
      </c>
      <c r="D280" s="125" t="str">
        <f xml:space="preserve"> IF(C280="","",setValueToTime(C280))</f>
        <v>2h 45 min</v>
      </c>
      <c r="E280" s="42"/>
      <c r="F280" s="199"/>
      <c r="G280" s="200"/>
      <c r="H280" s="152"/>
    </row>
    <row r="281" spans="2:8" s="43" customFormat="1" x14ac:dyDescent="0.3">
      <c r="B281" s="44" t="s">
        <v>29</v>
      </c>
      <c r="C281" s="45">
        <v>3</v>
      </c>
      <c r="D281" s="126" t="str">
        <f t="shared" ref="D281:D287" si="24" xml:space="preserve"> IF(C281="","",setValueToTime(C281))</f>
        <v xml:space="preserve"> 15 min</v>
      </c>
      <c r="E281" s="46"/>
      <c r="F281" s="193"/>
      <c r="G281" s="194"/>
      <c r="H281" s="152"/>
    </row>
    <row r="282" spans="2:8" s="43" customFormat="1" x14ac:dyDescent="0.3">
      <c r="B282" s="44"/>
      <c r="C282" s="45"/>
      <c r="D282" s="126" t="str">
        <f t="shared" si="24"/>
        <v/>
      </c>
      <c r="E282" s="46"/>
      <c r="F282" s="193"/>
      <c r="G282" s="194"/>
      <c r="H282" s="152"/>
    </row>
    <row r="283" spans="2:8" s="43" customFormat="1" x14ac:dyDescent="0.3">
      <c r="B283" s="44"/>
      <c r="C283" s="45"/>
      <c r="D283" s="126" t="str">
        <f t="shared" si="24"/>
        <v/>
      </c>
      <c r="E283" s="46"/>
      <c r="F283" s="193"/>
      <c r="G283" s="194"/>
      <c r="H283" s="152"/>
    </row>
    <row r="284" spans="2:8" s="43" customFormat="1" x14ac:dyDescent="0.3">
      <c r="B284" s="44"/>
      <c r="C284" s="45"/>
      <c r="D284" s="127" t="str">
        <f t="shared" si="24"/>
        <v/>
      </c>
      <c r="E284" s="46"/>
      <c r="F284" s="193"/>
      <c r="G284" s="194"/>
      <c r="H284" s="152"/>
    </row>
    <row r="285" spans="2:8" s="43" customFormat="1" x14ac:dyDescent="0.3">
      <c r="B285" s="44"/>
      <c r="C285" s="45"/>
      <c r="D285" s="127" t="str">
        <f t="shared" si="24"/>
        <v/>
      </c>
      <c r="E285" s="46"/>
      <c r="F285" s="193"/>
      <c r="G285" s="194"/>
      <c r="H285" s="152"/>
    </row>
    <row r="286" spans="2:8" s="43" customFormat="1" x14ac:dyDescent="0.3">
      <c r="B286" s="44"/>
      <c r="C286" s="45"/>
      <c r="D286" s="127" t="str">
        <f t="shared" si="24"/>
        <v/>
      </c>
      <c r="E286" s="46"/>
      <c r="F286" s="193"/>
      <c r="G286" s="194"/>
      <c r="H286" s="152"/>
    </row>
    <row r="287" spans="2:8" s="43" customFormat="1" ht="15" thickBot="1" x14ac:dyDescent="0.35">
      <c r="B287" s="44"/>
      <c r="C287" s="47"/>
      <c r="D287" s="128" t="str">
        <f t="shared" si="24"/>
        <v/>
      </c>
      <c r="E287" s="48"/>
      <c r="F287" s="195"/>
      <c r="G287" s="196"/>
      <c r="H287" s="152"/>
    </row>
    <row r="288" spans="2:8" s="43" customFormat="1" ht="15" thickBot="1" x14ac:dyDescent="0.35">
      <c r="B288" s="86" t="s">
        <v>40</v>
      </c>
      <c r="C288" s="67">
        <f>SUM(C280:C287)</f>
        <v>36</v>
      </c>
      <c r="D288" s="86" t="str">
        <f xml:space="preserve"> setValueToTime(C288)</f>
        <v>3h</v>
      </c>
      <c r="E288" s="95"/>
      <c r="F288" s="197"/>
      <c r="G288" s="198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33</v>
      </c>
      <c r="C290" s="136">
        <v>3</v>
      </c>
      <c r="D290" s="136"/>
      <c r="E290" s="65" t="s">
        <v>34</v>
      </c>
      <c r="F290" s="77">
        <v>46148</v>
      </c>
      <c r="G290" s="101" t="s">
        <v>66</v>
      </c>
      <c r="H290" s="151"/>
    </row>
    <row r="291" spans="2:8" s="39" customFormat="1" ht="30" customHeight="1" thickBot="1" x14ac:dyDescent="0.3">
      <c r="B291" s="63" t="s">
        <v>35</v>
      </c>
      <c r="C291" s="123" t="s">
        <v>36</v>
      </c>
      <c r="D291" s="124"/>
      <c r="E291" s="63" t="s">
        <v>37</v>
      </c>
      <c r="F291" s="191" t="s">
        <v>38</v>
      </c>
      <c r="G291" s="192"/>
      <c r="H291" s="151"/>
    </row>
    <row r="292" spans="2:8" s="43" customFormat="1" x14ac:dyDescent="0.3">
      <c r="B292" s="40" t="s">
        <v>30</v>
      </c>
      <c r="C292" s="41">
        <v>12</v>
      </c>
      <c r="D292" s="125" t="str">
        <f xml:space="preserve"> IF(C292="","",setValueToTime(C292))</f>
        <v>1h</v>
      </c>
      <c r="E292" s="42"/>
      <c r="F292" s="199"/>
      <c r="G292" s="200"/>
      <c r="H292" s="152"/>
    </row>
    <row r="293" spans="2:8" s="43" customFormat="1" x14ac:dyDescent="0.3">
      <c r="B293" s="44" t="s">
        <v>68</v>
      </c>
      <c r="C293" s="45">
        <v>24</v>
      </c>
      <c r="D293" s="126" t="str">
        <f t="shared" ref="D293:D299" si="25" xml:space="preserve"> IF(C293="","",setValueToTime(C293))</f>
        <v>2h</v>
      </c>
      <c r="E293" s="46"/>
      <c r="F293" s="193"/>
      <c r="G293" s="194"/>
      <c r="H293" s="152"/>
    </row>
    <row r="294" spans="2:8" s="43" customFormat="1" ht="27" x14ac:dyDescent="0.3">
      <c r="B294" s="44" t="s">
        <v>69</v>
      </c>
      <c r="C294" s="45">
        <v>9</v>
      </c>
      <c r="D294" s="126" t="str">
        <f t="shared" si="25"/>
        <v xml:space="preserve"> 45 min</v>
      </c>
      <c r="E294" s="46"/>
      <c r="F294" s="193"/>
      <c r="G294" s="194"/>
      <c r="H294" s="152"/>
    </row>
    <row r="295" spans="2:8" s="43" customFormat="1" x14ac:dyDescent="0.3">
      <c r="B295" s="44"/>
      <c r="C295" s="45"/>
      <c r="D295" s="126" t="str">
        <f t="shared" si="25"/>
        <v/>
      </c>
      <c r="E295" s="46"/>
      <c r="F295" s="193"/>
      <c r="G295" s="194"/>
      <c r="H295" s="152"/>
    </row>
    <row r="296" spans="2:8" s="43" customFormat="1" x14ac:dyDescent="0.3">
      <c r="B296" s="44"/>
      <c r="C296" s="45"/>
      <c r="D296" s="127" t="str">
        <f t="shared" si="25"/>
        <v/>
      </c>
      <c r="E296" s="46"/>
      <c r="F296" s="193"/>
      <c r="G296" s="194"/>
      <c r="H296" s="152"/>
    </row>
    <row r="297" spans="2:8" s="43" customFormat="1" x14ac:dyDescent="0.3">
      <c r="B297" s="44"/>
      <c r="C297" s="45"/>
      <c r="D297" s="127" t="str">
        <f t="shared" si="25"/>
        <v/>
      </c>
      <c r="E297" s="46"/>
      <c r="F297" s="193"/>
      <c r="G297" s="194"/>
      <c r="H297" s="152"/>
    </row>
    <row r="298" spans="2:8" s="43" customFormat="1" x14ac:dyDescent="0.3">
      <c r="B298" s="44"/>
      <c r="C298" s="45"/>
      <c r="D298" s="127" t="str">
        <f t="shared" si="25"/>
        <v/>
      </c>
      <c r="E298" s="46"/>
      <c r="F298" s="193"/>
      <c r="G298" s="194"/>
      <c r="H298" s="152"/>
    </row>
    <row r="299" spans="2:8" s="43" customFormat="1" ht="15" thickBot="1" x14ac:dyDescent="0.35">
      <c r="B299" s="44"/>
      <c r="C299" s="47"/>
      <c r="D299" s="128" t="str">
        <f t="shared" si="25"/>
        <v/>
      </c>
      <c r="E299" s="48"/>
      <c r="F299" s="195"/>
      <c r="G299" s="196"/>
      <c r="H299" s="152"/>
    </row>
    <row r="300" spans="2:8" s="43" customFormat="1" ht="15" thickBot="1" x14ac:dyDescent="0.35">
      <c r="B300" s="86" t="s">
        <v>40</v>
      </c>
      <c r="C300" s="67">
        <f>SUM(C292:C299)</f>
        <v>45</v>
      </c>
      <c r="D300" s="86" t="str">
        <f xml:space="preserve"> setValueToTime(C300)</f>
        <v>3h 45 min</v>
      </c>
      <c r="E300" s="95"/>
      <c r="F300" s="197"/>
      <c r="G300" s="198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33</v>
      </c>
      <c r="C302" s="136">
        <v>2</v>
      </c>
      <c r="D302" s="136"/>
      <c r="E302" s="65" t="s">
        <v>34</v>
      </c>
      <c r="F302" s="77">
        <v>46146</v>
      </c>
      <c r="G302" s="101" t="s">
        <v>70</v>
      </c>
      <c r="H302" s="151"/>
    </row>
    <row r="303" spans="2:8" s="39" customFormat="1" ht="30" customHeight="1" thickBot="1" x14ac:dyDescent="0.3">
      <c r="B303" s="63" t="s">
        <v>35</v>
      </c>
      <c r="C303" s="123" t="s">
        <v>36</v>
      </c>
      <c r="D303" s="124"/>
      <c r="E303" s="63" t="s">
        <v>37</v>
      </c>
      <c r="F303" s="191" t="s">
        <v>38</v>
      </c>
      <c r="G303" s="192"/>
      <c r="H303" s="151"/>
    </row>
    <row r="304" spans="2:8" s="43" customFormat="1" x14ac:dyDescent="0.3">
      <c r="B304" s="40" t="s">
        <v>28</v>
      </c>
      <c r="C304" s="41">
        <v>21</v>
      </c>
      <c r="D304" s="125" t="str">
        <f xml:space="preserve"> IF(C304="","",setValueToTime(C304))</f>
        <v>1h 45 min</v>
      </c>
      <c r="E304" s="42"/>
      <c r="F304" s="199"/>
      <c r="G304" s="200"/>
      <c r="H304" s="152"/>
    </row>
    <row r="305" spans="2:8" s="43" customFormat="1" x14ac:dyDescent="0.3">
      <c r="B305" s="44" t="s">
        <v>72</v>
      </c>
      <c r="C305" s="45">
        <v>4</v>
      </c>
      <c r="D305" s="126" t="str">
        <f t="shared" ref="D305:D311" si="26" xml:space="preserve"> IF(C305="","",setValueToTime(C305))</f>
        <v xml:space="preserve"> 20 min</v>
      </c>
      <c r="E305" s="46"/>
      <c r="F305" s="193"/>
      <c r="G305" s="194"/>
      <c r="H305" s="152"/>
    </row>
    <row r="306" spans="2:8" s="43" customFormat="1" x14ac:dyDescent="0.3">
      <c r="B306" s="44" t="s">
        <v>29</v>
      </c>
      <c r="C306" s="45">
        <v>2</v>
      </c>
      <c r="D306" s="126" t="str">
        <f t="shared" si="26"/>
        <v xml:space="preserve"> 10 min</v>
      </c>
      <c r="E306" s="46"/>
      <c r="F306" s="193"/>
      <c r="G306" s="194"/>
      <c r="H306" s="152"/>
    </row>
    <row r="307" spans="2:8" s="43" customFormat="1" x14ac:dyDescent="0.3">
      <c r="B307" s="44"/>
      <c r="C307" s="45"/>
      <c r="D307" s="126" t="str">
        <f t="shared" si="26"/>
        <v/>
      </c>
      <c r="E307" s="46"/>
      <c r="F307" s="193"/>
      <c r="G307" s="194"/>
      <c r="H307" s="152"/>
    </row>
    <row r="308" spans="2:8" s="43" customFormat="1" x14ac:dyDescent="0.3">
      <c r="B308" s="44"/>
      <c r="C308" s="45"/>
      <c r="D308" s="127" t="str">
        <f t="shared" si="26"/>
        <v/>
      </c>
      <c r="E308" s="46"/>
      <c r="F308" s="193"/>
      <c r="G308" s="194"/>
      <c r="H308" s="152"/>
    </row>
    <row r="309" spans="2:8" s="43" customFormat="1" x14ac:dyDescent="0.3">
      <c r="B309" s="44"/>
      <c r="C309" s="45"/>
      <c r="D309" s="127" t="str">
        <f t="shared" si="26"/>
        <v/>
      </c>
      <c r="E309" s="46"/>
      <c r="F309" s="193"/>
      <c r="G309" s="194"/>
      <c r="H309" s="152"/>
    </row>
    <row r="310" spans="2:8" s="43" customFormat="1" x14ac:dyDescent="0.3">
      <c r="B310" s="44"/>
      <c r="C310" s="45"/>
      <c r="D310" s="127" t="str">
        <f t="shared" si="26"/>
        <v/>
      </c>
      <c r="E310" s="46"/>
      <c r="F310" s="193"/>
      <c r="G310" s="194"/>
      <c r="H310" s="152"/>
    </row>
    <row r="311" spans="2:8" s="43" customFormat="1" ht="15" thickBot="1" x14ac:dyDescent="0.35">
      <c r="B311" s="44"/>
      <c r="C311" s="47"/>
      <c r="D311" s="128" t="str">
        <f t="shared" si="26"/>
        <v/>
      </c>
      <c r="E311" s="48"/>
      <c r="F311" s="195"/>
      <c r="G311" s="196"/>
      <c r="H311" s="152"/>
    </row>
    <row r="312" spans="2:8" s="43" customFormat="1" ht="15" thickBot="1" x14ac:dyDescent="0.35">
      <c r="B312" s="86" t="s">
        <v>40</v>
      </c>
      <c r="C312" s="67">
        <f>SUM(C304:C311)</f>
        <v>27</v>
      </c>
      <c r="D312" s="86" t="str">
        <f xml:space="preserve"> setValueToTime(C312)</f>
        <v>2h 15 min</v>
      </c>
      <c r="E312" s="95"/>
      <c r="F312" s="197"/>
      <c r="G312" s="198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33</v>
      </c>
      <c r="C314" s="136">
        <v>1</v>
      </c>
      <c r="D314" s="136"/>
      <c r="E314" s="65" t="s">
        <v>34</v>
      </c>
      <c r="F314" s="77">
        <v>46146</v>
      </c>
      <c r="G314" s="101" t="s">
        <v>66</v>
      </c>
      <c r="H314" s="151"/>
    </row>
    <row r="315" spans="2:8" s="39" customFormat="1" ht="30" customHeight="1" thickBot="1" x14ac:dyDescent="0.3">
      <c r="B315" s="63" t="s">
        <v>35</v>
      </c>
      <c r="C315" s="123" t="s">
        <v>36</v>
      </c>
      <c r="D315" s="124"/>
      <c r="E315" s="63" t="s">
        <v>37</v>
      </c>
      <c r="F315" s="191" t="s">
        <v>38</v>
      </c>
      <c r="G315" s="192"/>
      <c r="H315" s="151"/>
    </row>
    <row r="316" spans="2:8" s="43" customFormat="1" x14ac:dyDescent="0.3">
      <c r="B316" s="40" t="s">
        <v>71</v>
      </c>
      <c r="C316" s="41">
        <v>14</v>
      </c>
      <c r="D316" s="125" t="str">
        <f xml:space="preserve"> IF(C316="","",setValueToTime(C316))</f>
        <v>1h 10 min</v>
      </c>
      <c r="E316" s="42"/>
      <c r="F316" s="199"/>
      <c r="G316" s="200"/>
      <c r="H316" s="152"/>
    </row>
    <row r="317" spans="2:8" s="43" customFormat="1" x14ac:dyDescent="0.3">
      <c r="B317" s="44" t="s">
        <v>48</v>
      </c>
      <c r="C317" s="45">
        <v>6</v>
      </c>
      <c r="D317" s="126" t="str">
        <f t="shared" ref="D317:D323" si="27" xml:space="preserve"> IF(C317="","",setValueToTime(C317))</f>
        <v xml:space="preserve"> 30 min</v>
      </c>
      <c r="E317" s="46"/>
      <c r="F317" s="193"/>
      <c r="G317" s="194"/>
      <c r="H317" s="152"/>
    </row>
    <row r="318" spans="2:8" s="43" customFormat="1" x14ac:dyDescent="0.3">
      <c r="B318" s="44" t="s">
        <v>72</v>
      </c>
      <c r="C318" s="45">
        <v>2</v>
      </c>
      <c r="D318" s="126" t="str">
        <f t="shared" si="27"/>
        <v xml:space="preserve"> 10 min</v>
      </c>
      <c r="E318" s="46"/>
      <c r="F318" s="193"/>
      <c r="G318" s="194"/>
      <c r="H318" s="152"/>
    </row>
    <row r="319" spans="2:8" s="43" customFormat="1" x14ac:dyDescent="0.3">
      <c r="B319" s="44" t="s">
        <v>42</v>
      </c>
      <c r="C319" s="45">
        <v>2</v>
      </c>
      <c r="D319" s="127" t="str">
        <f t="shared" ref="D319" si="28" xml:space="preserve"> IF(C319="","",setValueToTime(C319))</f>
        <v xml:space="preserve"> 10 min</v>
      </c>
      <c r="E319" s="46"/>
      <c r="F319" s="193"/>
      <c r="G319" s="194"/>
      <c r="H319" s="152"/>
    </row>
    <row r="320" spans="2:8" s="43" customFormat="1" x14ac:dyDescent="0.3">
      <c r="B320" s="44" t="s">
        <v>28</v>
      </c>
      <c r="C320" s="45">
        <v>12</v>
      </c>
      <c r="D320" s="126" t="str">
        <f xml:space="preserve"> IF(C320="","",setValueToTime(C320))</f>
        <v>1h</v>
      </c>
      <c r="E320" s="46"/>
      <c r="F320" s="193"/>
      <c r="G320" s="194"/>
      <c r="H320" s="152"/>
    </row>
    <row r="321" spans="2:8" s="43" customFormat="1" x14ac:dyDescent="0.3">
      <c r="B321" s="44"/>
      <c r="C321" s="45"/>
      <c r="D321" s="126" t="str">
        <f xml:space="preserve"> IF(C321="","",setValueToTime(C321))</f>
        <v/>
      </c>
      <c r="E321" s="46"/>
      <c r="F321" s="193"/>
      <c r="G321" s="194"/>
      <c r="H321" s="152"/>
    </row>
    <row r="322" spans="2:8" s="43" customFormat="1" x14ac:dyDescent="0.3">
      <c r="B322" s="44"/>
      <c r="C322" s="45"/>
      <c r="D322" s="127" t="str">
        <f t="shared" si="27"/>
        <v/>
      </c>
      <c r="E322" s="46"/>
      <c r="F322" s="193"/>
      <c r="G322" s="194"/>
      <c r="H322" s="152"/>
    </row>
    <row r="323" spans="2:8" s="43" customFormat="1" ht="15" thickBot="1" x14ac:dyDescent="0.35">
      <c r="B323" s="44"/>
      <c r="C323" s="47"/>
      <c r="D323" s="128" t="str">
        <f t="shared" si="27"/>
        <v/>
      </c>
      <c r="E323" s="48"/>
      <c r="F323" s="195"/>
      <c r="G323" s="196"/>
      <c r="H323" s="152"/>
    </row>
    <row r="324" spans="2:8" s="43" customFormat="1" ht="15" thickBot="1" x14ac:dyDescent="0.35">
      <c r="B324" s="86" t="s">
        <v>40</v>
      </c>
      <c r="C324" s="67">
        <f>SUM(C316:C323)</f>
        <v>36</v>
      </c>
      <c r="D324" s="86" t="str">
        <f xml:space="preserve"> setValueToTime(C324)</f>
        <v>3h</v>
      </c>
      <c r="E324" s="95"/>
      <c r="F324" s="197"/>
      <c r="G324" s="198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9:G9"/>
    <mergeCell ref="F10:G10"/>
    <mergeCell ref="F11:G11"/>
    <mergeCell ref="F12:G12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57:G57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105:G105"/>
    <mergeCell ref="F106:G106"/>
    <mergeCell ref="F107:G107"/>
    <mergeCell ref="F108:G108"/>
    <mergeCell ref="F87:G87"/>
    <mergeCell ref="F88:G88"/>
    <mergeCell ref="F89:G89"/>
    <mergeCell ref="F90:G90"/>
    <mergeCell ref="F91:G91"/>
    <mergeCell ref="F92:G92"/>
    <mergeCell ref="F117:G117"/>
    <mergeCell ref="F118:G118"/>
    <mergeCell ref="F119:G119"/>
    <mergeCell ref="F120:G120"/>
    <mergeCell ref="F99:G99"/>
    <mergeCell ref="F100:G100"/>
    <mergeCell ref="F101:G101"/>
    <mergeCell ref="F102:G102"/>
    <mergeCell ref="F103:G103"/>
    <mergeCell ref="F104:G104"/>
    <mergeCell ref="F129:G129"/>
    <mergeCell ref="F130:G130"/>
    <mergeCell ref="F131:G131"/>
    <mergeCell ref="F132:G132"/>
    <mergeCell ref="F111:G111"/>
    <mergeCell ref="F112:G112"/>
    <mergeCell ref="F113:G113"/>
    <mergeCell ref="F114:G114"/>
    <mergeCell ref="F115:G115"/>
    <mergeCell ref="F116:G116"/>
    <mergeCell ref="F141:G141"/>
    <mergeCell ref="F142:G142"/>
    <mergeCell ref="F143:G143"/>
    <mergeCell ref="F144:G144"/>
    <mergeCell ref="F123:G123"/>
    <mergeCell ref="F124:G124"/>
    <mergeCell ref="F125:G125"/>
    <mergeCell ref="F126:G126"/>
    <mergeCell ref="F127:G127"/>
    <mergeCell ref="F128:G128"/>
    <mergeCell ref="F153:G153"/>
    <mergeCell ref="F154:G154"/>
    <mergeCell ref="F155:G155"/>
    <mergeCell ref="F156:G156"/>
    <mergeCell ref="F135:G135"/>
    <mergeCell ref="F136:G136"/>
    <mergeCell ref="F137:G137"/>
    <mergeCell ref="F138:G138"/>
    <mergeCell ref="F139:G139"/>
    <mergeCell ref="F140:G140"/>
    <mergeCell ref="F165:G165"/>
    <mergeCell ref="F166:G166"/>
    <mergeCell ref="F167:G167"/>
    <mergeCell ref="F168:G168"/>
    <mergeCell ref="F147:G147"/>
    <mergeCell ref="F148:G148"/>
    <mergeCell ref="F149:G149"/>
    <mergeCell ref="F150:G150"/>
    <mergeCell ref="F151:G151"/>
    <mergeCell ref="F152:G152"/>
    <mergeCell ref="F177:G177"/>
    <mergeCell ref="F178:G178"/>
    <mergeCell ref="F179:G179"/>
    <mergeCell ref="F180:G180"/>
    <mergeCell ref="F159:G159"/>
    <mergeCell ref="F160:G160"/>
    <mergeCell ref="F161:G161"/>
    <mergeCell ref="F162:G162"/>
    <mergeCell ref="F163:G163"/>
    <mergeCell ref="F164:G164"/>
    <mergeCell ref="F189:G189"/>
    <mergeCell ref="F190:G190"/>
    <mergeCell ref="F191:G191"/>
    <mergeCell ref="F192:G192"/>
    <mergeCell ref="F171:G171"/>
    <mergeCell ref="F172:G172"/>
    <mergeCell ref="F173:G173"/>
    <mergeCell ref="F174:G174"/>
    <mergeCell ref="F175:G175"/>
    <mergeCell ref="F176:G176"/>
    <mergeCell ref="F201:G201"/>
    <mergeCell ref="F202:G202"/>
    <mergeCell ref="F203:G203"/>
    <mergeCell ref="F204:G204"/>
    <mergeCell ref="F183:G183"/>
    <mergeCell ref="F184:G184"/>
    <mergeCell ref="F185:G185"/>
    <mergeCell ref="F186:G186"/>
    <mergeCell ref="F187:G187"/>
    <mergeCell ref="F188:G188"/>
    <mergeCell ref="F213:G213"/>
    <mergeCell ref="F214:G214"/>
    <mergeCell ref="F215:G215"/>
    <mergeCell ref="F216:G216"/>
    <mergeCell ref="F195:G195"/>
    <mergeCell ref="F196:G196"/>
    <mergeCell ref="F197:G197"/>
    <mergeCell ref="F198:G198"/>
    <mergeCell ref="F199:G199"/>
    <mergeCell ref="F200:G200"/>
    <mergeCell ref="F225:G225"/>
    <mergeCell ref="F226:G226"/>
    <mergeCell ref="F227:G227"/>
    <mergeCell ref="F228:G228"/>
    <mergeCell ref="F207:G207"/>
    <mergeCell ref="F208:G208"/>
    <mergeCell ref="F209:G209"/>
    <mergeCell ref="F210:G210"/>
    <mergeCell ref="F211:G211"/>
    <mergeCell ref="F212:G212"/>
    <mergeCell ref="F237:G237"/>
    <mergeCell ref="F238:G238"/>
    <mergeCell ref="F239:G239"/>
    <mergeCell ref="F240:G240"/>
    <mergeCell ref="F219:G219"/>
    <mergeCell ref="F220:G220"/>
    <mergeCell ref="F221:G221"/>
    <mergeCell ref="F222:G222"/>
    <mergeCell ref="F223:G223"/>
    <mergeCell ref="F224:G224"/>
    <mergeCell ref="F249:G249"/>
    <mergeCell ref="F250:G250"/>
    <mergeCell ref="F251:G251"/>
    <mergeCell ref="F252:G252"/>
    <mergeCell ref="F231:G231"/>
    <mergeCell ref="F232:G232"/>
    <mergeCell ref="F233:G233"/>
    <mergeCell ref="F234:G234"/>
    <mergeCell ref="F235:G235"/>
    <mergeCell ref="F236:G236"/>
    <mergeCell ref="F261:G261"/>
    <mergeCell ref="F262:G262"/>
    <mergeCell ref="F263:G263"/>
    <mergeCell ref="F264:G264"/>
    <mergeCell ref="F243:G243"/>
    <mergeCell ref="F244:G244"/>
    <mergeCell ref="F245:G245"/>
    <mergeCell ref="F246:G246"/>
    <mergeCell ref="F247:G247"/>
    <mergeCell ref="F248:G248"/>
    <mergeCell ref="F273:G273"/>
    <mergeCell ref="F274:G274"/>
    <mergeCell ref="F275:G275"/>
    <mergeCell ref="F276:G276"/>
    <mergeCell ref="F255:G255"/>
    <mergeCell ref="F256:G256"/>
    <mergeCell ref="F257:G257"/>
    <mergeCell ref="F258:G258"/>
    <mergeCell ref="F259:G259"/>
    <mergeCell ref="F260:G260"/>
    <mergeCell ref="F285:G285"/>
    <mergeCell ref="F286:G286"/>
    <mergeCell ref="F287:G287"/>
    <mergeCell ref="F288:G288"/>
    <mergeCell ref="F267:G267"/>
    <mergeCell ref="F268:G268"/>
    <mergeCell ref="F269:G269"/>
    <mergeCell ref="F270:G270"/>
    <mergeCell ref="F271:G271"/>
    <mergeCell ref="F272:G272"/>
    <mergeCell ref="F297:G297"/>
    <mergeCell ref="F298:G298"/>
    <mergeCell ref="F299:G299"/>
    <mergeCell ref="F300:G300"/>
    <mergeCell ref="F279:G279"/>
    <mergeCell ref="F280:G280"/>
    <mergeCell ref="F281:G281"/>
    <mergeCell ref="F282:G282"/>
    <mergeCell ref="F283:G283"/>
    <mergeCell ref="F284:G284"/>
    <mergeCell ref="F309:G309"/>
    <mergeCell ref="F310:G31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0" priority="27" operator="greaterThan">
      <formula>60</formula>
    </cfRule>
  </conditionalFormatting>
  <conditionalFormatting sqref="C312">
    <cfRule type="cellIs" dxfId="29" priority="26" operator="greaterThan">
      <formula>60</formula>
    </cfRule>
  </conditionalFormatting>
  <conditionalFormatting sqref="C300">
    <cfRule type="cellIs" dxfId="28" priority="25" operator="greaterThan">
      <formula>60</formula>
    </cfRule>
  </conditionalFormatting>
  <conditionalFormatting sqref="C288">
    <cfRule type="cellIs" dxfId="27" priority="24" operator="greaterThan">
      <formula>60</formula>
    </cfRule>
  </conditionalFormatting>
  <conditionalFormatting sqref="C276">
    <cfRule type="cellIs" dxfId="26" priority="23" operator="greaterThan">
      <formula>60</formula>
    </cfRule>
  </conditionalFormatting>
  <conditionalFormatting sqref="C264">
    <cfRule type="cellIs" dxfId="25" priority="22" operator="greaterThan">
      <formula>60</formula>
    </cfRule>
  </conditionalFormatting>
  <conditionalFormatting sqref="C252">
    <cfRule type="cellIs" dxfId="24" priority="21" operator="greaterThan">
      <formula>60</formula>
    </cfRule>
  </conditionalFormatting>
  <conditionalFormatting sqref="C240">
    <cfRule type="cellIs" dxfId="23" priority="20" operator="greaterThan">
      <formula>60</formula>
    </cfRule>
  </conditionalFormatting>
  <conditionalFormatting sqref="C228">
    <cfRule type="cellIs" dxfId="22" priority="19" operator="greaterThan">
      <formula>60</formula>
    </cfRule>
  </conditionalFormatting>
  <conditionalFormatting sqref="C216">
    <cfRule type="cellIs" dxfId="21" priority="18" operator="greaterThan">
      <formula>60</formula>
    </cfRule>
  </conditionalFormatting>
  <conditionalFormatting sqref="C204">
    <cfRule type="cellIs" dxfId="20" priority="17" operator="greaterThan">
      <formula>60</formula>
    </cfRule>
  </conditionalFormatting>
  <conditionalFormatting sqref="C192">
    <cfRule type="cellIs" dxfId="19" priority="16" operator="greaterThan">
      <formula>60</formula>
    </cfRule>
  </conditionalFormatting>
  <conditionalFormatting sqref="C180">
    <cfRule type="cellIs" dxfId="18" priority="15" operator="greaterThan">
      <formula>60</formula>
    </cfRule>
  </conditionalFormatting>
  <conditionalFormatting sqref="C168">
    <cfRule type="cellIs" dxfId="17" priority="14" operator="greaterThan">
      <formula>60</formula>
    </cfRule>
  </conditionalFormatting>
  <conditionalFormatting sqref="C156">
    <cfRule type="cellIs" dxfId="16" priority="13" operator="greaterThan">
      <formula>60</formula>
    </cfRule>
  </conditionalFormatting>
  <conditionalFormatting sqref="C144">
    <cfRule type="cellIs" dxfId="15" priority="12" operator="greaterThan">
      <formula>60</formula>
    </cfRule>
  </conditionalFormatting>
  <conditionalFormatting sqref="C132">
    <cfRule type="cellIs" dxfId="14" priority="11" operator="greaterThan">
      <formula>60</formula>
    </cfRule>
  </conditionalFormatting>
  <conditionalFormatting sqref="C120">
    <cfRule type="cellIs" dxfId="13" priority="10" operator="greaterThan">
      <formula>60</formula>
    </cfRule>
  </conditionalFormatting>
  <conditionalFormatting sqref="C108">
    <cfRule type="cellIs" dxfId="12" priority="9" operator="greaterThan">
      <formula>60</formula>
    </cfRule>
  </conditionalFormatting>
  <conditionalFormatting sqref="C96">
    <cfRule type="cellIs" dxfId="11" priority="8" operator="greaterThan">
      <formula>60</formula>
    </cfRule>
  </conditionalFormatting>
  <conditionalFormatting sqref="C84">
    <cfRule type="cellIs" dxfId="10" priority="7" operator="greaterThan">
      <formula>60</formula>
    </cfRule>
  </conditionalFormatting>
  <conditionalFormatting sqref="C72">
    <cfRule type="cellIs" dxfId="9" priority="6" operator="greaterThan">
      <formula>60</formula>
    </cfRule>
  </conditionalFormatting>
  <conditionalFormatting sqref="C60">
    <cfRule type="cellIs" dxfId="8" priority="5" operator="greaterThan">
      <formula>60</formula>
    </cfRule>
  </conditionalFormatting>
  <conditionalFormatting sqref="C48">
    <cfRule type="cellIs" dxfId="7" priority="4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C419CED5-EF39-41BE-8859-CDD8C15B052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 C304:C311 C292:C299 C280:C287 C268:C275 C256:C263 C244:C251 C232:C239 C220:C227 C208:C215 C196:C203 C184:C191 C172:C179 C160:C167 C148:C155 C136:C143 C124:C131 C112:C119 C100:C107 C88:C95 C76:C83 C64:C71 C52:C59 C40:C47 C28:C35 C316:C323 C16:C23" xr:uid="{99159C74-3F04-4C13-BC0E-B545EBD9837A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E2C8CF-7F82-48D5-B306-9626BC45B457}">
          <x14:formula1>
            <xm:f>OFFSET(Bilan!$B:$B,14,0,COUNTA(Bilan!$C$15:$C$93))</xm:f>
          </x14:formula1>
          <xm:sqref>B4:B11 B304:B311 B292:B299 B280:B287 B268:B275 B256:B263 B244:B251 B232:B239 B220:B227 B208:B215 B196:B203 B184:B191 B172:B179 B160:B167 B148:B155 B136:B143 B124:B131 B112:B119 B100:B107 B88:B95 B76:B83 B64:B71 B52:B59 B40:B47 B28:B35 B316:B323 B16:B23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G2" sqref="G2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33</v>
      </c>
      <c r="C2" s="137">
        <v>2</v>
      </c>
      <c r="D2" s="137"/>
      <c r="E2" s="130" t="s">
        <v>34</v>
      </c>
      <c r="F2" s="131" t="s">
        <v>67</v>
      </c>
      <c r="G2" s="132" t="s">
        <v>70</v>
      </c>
      <c r="H2" s="151"/>
    </row>
    <row r="3" spans="2:8" s="39" customFormat="1" ht="30" customHeight="1" thickBot="1" x14ac:dyDescent="0.3">
      <c r="B3" s="61" t="s">
        <v>35</v>
      </c>
      <c r="C3" s="134" t="s">
        <v>36</v>
      </c>
      <c r="D3" s="133"/>
      <c r="E3" s="61" t="s">
        <v>37</v>
      </c>
      <c r="F3" s="203" t="s">
        <v>38</v>
      </c>
      <c r="G3" s="204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199"/>
      <c r="G4" s="20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193"/>
      <c r="G5" s="19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93"/>
      <c r="G6" s="194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193"/>
      <c r="G7" s="19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193"/>
      <c r="G8" s="19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193"/>
      <c r="G9" s="194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193"/>
      <c r="G10" s="194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195"/>
      <c r="G11" s="196"/>
      <c r="H11" s="152"/>
    </row>
    <row r="12" spans="2:8" s="43" customFormat="1" ht="15" thickBot="1" x14ac:dyDescent="0.35">
      <c r="B12" s="135" t="s">
        <v>40</v>
      </c>
      <c r="C12" s="66">
        <f>SUM(C4:C11)</f>
        <v>0</v>
      </c>
      <c r="D12" s="135" t="str">
        <f xml:space="preserve"> setValueToTime(C12)</f>
        <v/>
      </c>
      <c r="E12" s="96"/>
      <c r="F12" s="201"/>
      <c r="G12" s="20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33</v>
      </c>
      <c r="C14" s="137">
        <v>1</v>
      </c>
      <c r="D14" s="137"/>
      <c r="E14" s="130" t="s">
        <v>34</v>
      </c>
      <c r="F14" s="131" t="s">
        <v>67</v>
      </c>
      <c r="G14" s="132" t="s">
        <v>66</v>
      </c>
      <c r="H14" s="151"/>
    </row>
    <row r="15" spans="2:8" s="39" customFormat="1" ht="30" customHeight="1" thickBot="1" x14ac:dyDescent="0.3">
      <c r="B15" s="61" t="s">
        <v>35</v>
      </c>
      <c r="C15" s="134" t="s">
        <v>36</v>
      </c>
      <c r="D15" s="133"/>
      <c r="E15" s="61" t="s">
        <v>37</v>
      </c>
      <c r="F15" s="203" t="s">
        <v>38</v>
      </c>
      <c r="G15" s="204"/>
      <c r="H15" s="151"/>
    </row>
    <row r="16" spans="2:8" s="43" customFormat="1" x14ac:dyDescent="0.3">
      <c r="B16" s="40"/>
      <c r="C16" s="41"/>
      <c r="D16" s="125" t="str">
        <f xml:space="preserve"> IF(C16="","",setValueToTime(C16))</f>
        <v/>
      </c>
      <c r="E16" s="42"/>
      <c r="F16" s="199"/>
      <c r="G16" s="20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193"/>
      <c r="G17" s="194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193"/>
      <c r="G18" s="194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193"/>
      <c r="G19" s="194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193"/>
      <c r="G20" s="194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193"/>
      <c r="G21" s="194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193"/>
      <c r="G22" s="194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195"/>
      <c r="G23" s="196"/>
      <c r="H23" s="152"/>
    </row>
    <row r="24" spans="2:8" s="43" customFormat="1" ht="15" thickBot="1" x14ac:dyDescent="0.35">
      <c r="B24" s="135" t="s">
        <v>40</v>
      </c>
      <c r="C24" s="66">
        <f>SUM(C16:C23)</f>
        <v>0</v>
      </c>
      <c r="D24" s="135" t="str">
        <f xml:space="preserve"> setValueToTime(C24)</f>
        <v/>
      </c>
      <c r="E24" s="96"/>
      <c r="F24" s="201"/>
      <c r="G24" s="202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9:G9"/>
    <mergeCell ref="F10:G10"/>
    <mergeCell ref="F11:G11"/>
    <mergeCell ref="F12:G12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15:G15"/>
    <mergeCell ref="F16:G16"/>
    <mergeCell ref="F17:G17"/>
    <mergeCell ref="F18:G18"/>
    <mergeCell ref="F19:G19"/>
    <mergeCell ref="F20:G20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1B886EB8-4838-4B37-B5E1-F4A4B81C6BA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EDA9EFB7-C664-4571-9550-24B962D3B6C5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37EAEC-A516-42E8-A2AC-EAD2BF2091F3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53"/>
      <c r="B10" s="153"/>
      <c r="C10" s="153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E10" s="153"/>
      <c r="BF10" s="153"/>
      <c r="BG10" s="153"/>
      <c r="BH10" s="153"/>
      <c r="BI10" s="73"/>
    </row>
    <row r="11" spans="1:61" ht="18" x14ac:dyDescent="0.25">
      <c r="A11" s="172"/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72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73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3"/>
    </row>
    <row r="13" spans="1:61" ht="18.75" thickBot="1" x14ac:dyDescent="0.3">
      <c r="A13" s="173" t="s">
        <v>33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5"/>
      <c r="BI13" s="73"/>
    </row>
    <row r="14" spans="1:61" ht="15.75" thickBot="1" x14ac:dyDescent="0.35">
      <c r="A14" s="81"/>
      <c r="B14" s="82"/>
      <c r="C14" s="82"/>
      <c r="D14" s="82"/>
      <c r="E14" s="161" t="s">
        <v>17</v>
      </c>
      <c r="F14" s="161"/>
      <c r="G14" s="161"/>
      <c r="H14" s="161"/>
      <c r="I14" s="82"/>
      <c r="J14" s="82"/>
      <c r="K14" s="162" t="s">
        <v>18</v>
      </c>
      <c r="L14" s="162"/>
      <c r="M14" s="162"/>
      <c r="N14" s="162"/>
      <c r="O14" s="102"/>
      <c r="P14" s="102"/>
      <c r="Q14" s="161" t="s">
        <v>19</v>
      </c>
      <c r="R14" s="161"/>
      <c r="S14" s="161"/>
      <c r="T14" s="161"/>
      <c r="U14" s="82"/>
      <c r="V14" s="82"/>
      <c r="W14" s="162" t="s">
        <v>20</v>
      </c>
      <c r="X14" s="162"/>
      <c r="Y14" s="162"/>
      <c r="Z14" s="162"/>
      <c r="AA14" s="102"/>
      <c r="AB14" s="102"/>
      <c r="AC14" s="161" t="s">
        <v>21</v>
      </c>
      <c r="AD14" s="161"/>
      <c r="AE14" s="161"/>
      <c r="AF14" s="161"/>
      <c r="AG14" s="82"/>
      <c r="AH14" s="82"/>
      <c r="AI14" s="162" t="s">
        <v>22</v>
      </c>
      <c r="AJ14" s="162"/>
      <c r="AK14" s="162"/>
      <c r="AL14" s="162"/>
      <c r="AM14" s="102"/>
      <c r="AN14" s="102"/>
      <c r="AO14" s="161" t="s">
        <v>23</v>
      </c>
      <c r="AP14" s="161"/>
      <c r="AQ14" s="161"/>
      <c r="AR14" s="161"/>
      <c r="AS14" s="82"/>
      <c r="AT14" s="82"/>
      <c r="AU14" s="162" t="s">
        <v>24</v>
      </c>
      <c r="AV14" s="162"/>
      <c r="AW14" s="162"/>
      <c r="AX14" s="162"/>
      <c r="AY14" s="102"/>
      <c r="AZ14" s="102"/>
      <c r="BA14" s="161" t="s">
        <v>25</v>
      </c>
      <c r="BB14" s="161"/>
      <c r="BC14" s="161"/>
      <c r="BD14" s="16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33</v>
      </c>
      <c r="C1" s="136">
        <v>1</v>
      </c>
      <c r="D1" s="136"/>
      <c r="E1" s="65" t="s">
        <v>34</v>
      </c>
      <c r="F1" s="77"/>
      <c r="G1" s="101"/>
      <c r="H1" s="151"/>
    </row>
    <row r="2" spans="2:8" s="39" customFormat="1" ht="30" customHeight="1" thickBot="1" x14ac:dyDescent="0.3">
      <c r="B2" s="63" t="s">
        <v>35</v>
      </c>
      <c r="C2" s="123" t="s">
        <v>36</v>
      </c>
      <c r="D2" s="124"/>
      <c r="E2" s="63" t="s">
        <v>37</v>
      </c>
      <c r="F2" s="191" t="s">
        <v>38</v>
      </c>
      <c r="G2" s="192"/>
      <c r="H2" s="151"/>
    </row>
    <row r="3" spans="2:8" s="43" customFormat="1" x14ac:dyDescent="0.3">
      <c r="B3" s="40" t="s">
        <v>39</v>
      </c>
      <c r="C3" s="41"/>
      <c r="D3" s="125" t="str">
        <f xml:space="preserve"> IF(C3="","",setValueToTime(C3))</f>
        <v/>
      </c>
      <c r="E3" s="42"/>
      <c r="F3" s="199"/>
      <c r="G3" s="20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193"/>
      <c r="G4" s="19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193"/>
      <c r="G5" s="19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93"/>
      <c r="G6" s="19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193"/>
      <c r="G7" s="19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193"/>
      <c r="G8" s="19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193"/>
      <c r="G9" s="19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195"/>
      <c r="G10" s="196"/>
      <c r="H10" s="152"/>
    </row>
    <row r="11" spans="2:8" s="43" customFormat="1" ht="15" thickBot="1" x14ac:dyDescent="0.35">
      <c r="B11" s="86" t="s">
        <v>40</v>
      </c>
      <c r="C11" s="67">
        <f>SUM(C3:C10)</f>
        <v>0</v>
      </c>
      <c r="D11" s="86" t="str">
        <f xml:space="preserve"> setValueToTime(C11)</f>
        <v/>
      </c>
      <c r="E11" s="95"/>
      <c r="F11" s="197"/>
      <c r="G11" s="19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33</v>
      </c>
      <c r="C1" s="137">
        <v>1</v>
      </c>
      <c r="D1" s="137"/>
      <c r="E1" s="130" t="s">
        <v>34</v>
      </c>
      <c r="F1" s="131"/>
      <c r="G1" s="132"/>
      <c r="H1" s="151"/>
    </row>
    <row r="2" spans="2:8" s="39" customFormat="1" ht="30" customHeight="1" thickBot="1" x14ac:dyDescent="0.3">
      <c r="B2" s="61" t="s">
        <v>35</v>
      </c>
      <c r="C2" s="134" t="s">
        <v>36</v>
      </c>
      <c r="D2" s="133"/>
      <c r="E2" s="61" t="s">
        <v>37</v>
      </c>
      <c r="F2" s="203" t="s">
        <v>38</v>
      </c>
      <c r="G2" s="20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199"/>
      <c r="G3" s="20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193"/>
      <c r="G4" s="19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193"/>
      <c r="G5" s="19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93"/>
      <c r="G6" s="19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193"/>
      <c r="G7" s="19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193"/>
      <c r="G8" s="19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193"/>
      <c r="G9" s="19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195"/>
      <c r="G10" s="196"/>
      <c r="H10" s="152"/>
    </row>
    <row r="11" spans="2:8" s="43" customFormat="1" ht="15" thickBot="1" x14ac:dyDescent="0.35">
      <c r="B11" s="135" t="s">
        <v>40</v>
      </c>
      <c r="C11" s="66">
        <f>SUM(C3:C10)</f>
        <v>0</v>
      </c>
      <c r="D11" s="135" t="str">
        <f xml:space="preserve"> setValueToTime(C11)</f>
        <v/>
      </c>
      <c r="E11" s="96"/>
      <c r="F11" s="201"/>
      <c r="G11" s="20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Cyril Napoleone</cp:lastModifiedBy>
  <cp:revision/>
  <dcterms:created xsi:type="dcterms:W3CDTF">1996-10-21T11:03:58Z</dcterms:created>
  <dcterms:modified xsi:type="dcterms:W3CDTF">2026-05-04T11:26:11Z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