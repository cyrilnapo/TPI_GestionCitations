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esktop\TPI\doc\"/>
    </mc:Choice>
  </mc:AlternateContent>
  <xr:revisionPtr revIDLastSave="0" documentId="13_ncr:1_{F137F575-2B8D-4623-B893-923B940DA314}" xr6:coauthVersionLast="47" xr6:coauthVersionMax="47" xr10:uidLastSave="{00000000-0000-0000-0000-000000000000}"/>
  <bookViews>
    <workbookView xWindow="30615" yWindow="2115" windowWidth="23130" windowHeight="12105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6" i="10"/>
  <c r="C5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6" i="1"/>
  <c r="D82" i="1"/>
  <c r="D94" i="1"/>
  <c r="D90" i="1"/>
  <c r="D66" i="1"/>
  <c r="D78" i="1"/>
  <c r="D74" i="1"/>
  <c r="D54" i="1"/>
  <c r="D50" i="1"/>
  <c r="D62" i="1"/>
  <c r="D58" i="1"/>
  <c r="D70" i="1"/>
  <c r="D38" i="1"/>
  <c r="D34" i="1"/>
  <c r="D46" i="1"/>
  <c r="D42" i="1"/>
  <c r="D22" i="1"/>
  <c r="D18" i="1"/>
  <c r="D30" i="1"/>
  <c r="D26" i="1"/>
  <c r="D24" i="1"/>
  <c r="D52" i="1"/>
  <c r="D40" i="1"/>
  <c r="D92" i="1"/>
  <c r="D88" i="1"/>
  <c r="D76" i="1"/>
  <c r="D72" i="1"/>
  <c r="D84" i="1"/>
  <c r="D80" i="1"/>
  <c r="D60" i="1"/>
  <c r="D56" i="1"/>
  <c r="D68" i="1"/>
  <c r="D64" i="1"/>
  <c r="D36" i="1"/>
  <c r="D32" i="1"/>
  <c r="D48" i="1"/>
  <c r="D44" i="1"/>
  <c r="D16" i="1"/>
  <c r="D28" i="1"/>
  <c r="D20" i="1"/>
  <c r="C11" i="15"/>
  <c r="C11" i="16"/>
  <c r="C4" i="10"/>
  <c r="C12" i="12"/>
  <c r="C1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<sst xmlns="http://schemas.openxmlformats.org/spreadsheetml/2006/main" count="217" uniqueCount="67">
  <si>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</si>
  <si>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</si>
  <si>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</si>
  <si>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</si>
  <si>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</si>
  <si>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</si>
  <si>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</si>
  <si>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</si>
  <si>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</si>
  <si>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</si>
  <si>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</si>
  <si>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</si>
  <si>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</si>
  <si>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</si>
  <si>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</si>
  <si>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</si>
  <si>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</si>
  <si>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</si>
  <si>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</si>
  <si>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</si>
  <si>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</si>
  <si>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</si>
  <si>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</si>
  <si>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</si>
  <si>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</si>
  <si>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</si>
  <si>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</si>
  <si>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</si>
  <si>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</si>
  <si>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</si>
  <si>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</si>
  <si>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</si>
  <si>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</si>
  <si>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</si>
  <si>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</si>
  <si>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</si>
  <si>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</si>
  <si>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</si>
  <si>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</si>
  <si>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</si>
  <si>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</si>
  <si>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</si>
  <si>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</si>
  <si>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TPI</t>
  </si>
  <si>
    <t>Cyril Napoleone</t>
  </si>
  <si>
    <t>A23</t>
  </si>
  <si>
    <t>ETML - Vennes</t>
  </si>
  <si>
    <t>Visite expert 2</t>
  </si>
  <si>
    <t>Du 04.05.2026 au 01.06.2026</t>
  </si>
  <si>
    <t>Matin</t>
  </si>
  <si>
    <t>lundi, 4 mai 2026</t>
  </si>
  <si>
    <t>Analyse du CDC</t>
  </si>
  <si>
    <t>Initialisation repo Github</t>
  </si>
  <si>
    <t>Maquettes FIGMA</t>
  </si>
  <si>
    <t>backend - CRUD movies</t>
  </si>
  <si>
    <t>backend - CRUD quotes</t>
  </si>
  <si>
    <t>backend - Sécurité</t>
  </si>
  <si>
    <t>backend - Gestion auth/users</t>
  </si>
  <si>
    <t>backend - Rôles et accès</t>
  </si>
  <si>
    <t>frontend - Bases des pages principales</t>
  </si>
  <si>
    <t>frontend - Page d'accueil</t>
  </si>
  <si>
    <t>frontend - Login/Signup</t>
  </si>
  <si>
    <t>backend - Initialisation structure Laravel</t>
  </si>
  <si>
    <t>frontend - Initialisation structure Angular</t>
  </si>
  <si>
    <t>frontend - interfaces CRUD (films, citations etc)</t>
  </si>
  <si>
    <t>frontend - gestion des erreurs</t>
  </si>
  <si>
    <t>backend - gestion des erreurs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</si>
</sst>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9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Visite expert 2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674678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563217</xdr:colOff>
      <xdr:row>0</xdr:row>
      <xdr:rowOff>106017</xdr:rowOff>
    </xdr:from>
    <xdr:to>
      <xdr:col>4</xdr:col>
      <xdr:colOff>28575</xdr:colOff>
      <xdr:row>0</xdr:row>
      <xdr:rowOff>733424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6467" y="106017"/>
          <a:ext cx="6609108" cy="62740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 b="0" baseline="0"/>
            <a:t>Lundi : Matinée = 4 périodes = </a:t>
          </a:r>
          <a:r>
            <a:rPr lang="fr-CH" sz="1100" b="1" baseline="0"/>
            <a:t>36 tranches </a:t>
          </a:r>
          <a:r>
            <a:rPr lang="fr-CH" sz="1100" b="0" baseline="0"/>
            <a:t>|</a:t>
          </a:r>
          <a:r>
            <a:rPr lang="fr-CH" sz="1100" b="1" baseline="0"/>
            <a:t> </a:t>
          </a:r>
          <a:r>
            <a:rPr lang="fr-CH" sz="1100" b="0" baseline="0"/>
            <a:t>Après-midi = 3 périodes = </a:t>
          </a:r>
          <a:r>
            <a:rPr lang="fr-CH" sz="1100" b="1" baseline="0"/>
            <a:t>27 tranches</a:t>
          </a:r>
        </a:p>
        <a:p>
          <a:r>
            <a:rPr lang="fr-CH" sz="1100" b="0" baseline="0"/>
            <a:t>Mercredi - Jeudi : Matinée = 5 périodes = </a:t>
          </a:r>
          <a:r>
            <a:rPr lang="fr-CH" sz="1100" b="1" baseline="0"/>
            <a:t>45 tranches </a:t>
          </a:r>
          <a:r>
            <a:rPr lang="fr-CH" sz="1100" b="0" baseline="0"/>
            <a:t>| Après-midi = 4 périodes = </a:t>
          </a:r>
          <a:r>
            <a:rPr lang="fr-CH" sz="1100" b="1" baseline="0"/>
            <a:t>36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29101" y="91109"/>
          <a:ext cx="1887192" cy="7661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81" t="s">
        <v>33</v>
      </c>
      <c r="C35" s="181"/>
      <c r="D35" s="181"/>
      <c r="E35" s="91" t="s">
        <v>42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82" t="s">
        <v>34</v>
      </c>
      <c r="C37" s="182"/>
      <c r="D37" s="182"/>
      <c r="E37" s="93" t="s">
        <v>42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23" t="s">
        <v>42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KT99"/>
  <sheetViews>
    <sheetView showGridLines="0" zoomScale="70" zoomScaleNormal="70" zoomScaleSheetLayoutView="43" workbookViewId="0">
      <selection activeCell="C57" sqref="C25:C5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3.140625" style="2" customWidth="1"/>
    <col min="4" max="4" width="12.28515625" style="2" customWidth="1"/>
    <col min="5" max="5" width="14.42578125" style="2" customWidth="1"/>
    <col min="6" max="305" width="1.140625" style="2" customWidth="1"/>
    <col min="306" max="306" width="2.7109375" style="2" customWidth="1"/>
    <col min="307" max="16384" width="11.42578125" style="2"/>
  </cols>
  <sheetData>
    <row r="1" spans="1:306" ht="35.1" customHeight="1" x14ac:dyDescent="0.25">
      <c r="B1" s="80"/>
      <c r="C1" s="157" t="s">
        <v>30</v>
      </c>
      <c r="D1" s="157"/>
      <c r="E1" s="15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8">
        <v>1</v>
      </c>
    </row>
    <row r="2" spans="1:3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5"/>
    </row>
    <row r="3" spans="1:306" ht="30" customHeight="1" x14ac:dyDescent="0.25">
      <c r="B3" s="53"/>
      <c r="C3" s="5" t="s">
        <v>0</v>
      </c>
      <c r="D3" s="124"/>
      <c r="E3" s="6" t="s">
        <v>43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5"/>
    </row>
    <row r="4" spans="1:306" ht="30" customHeight="1" x14ac:dyDescent="0.25">
      <c r="B4" s="53"/>
      <c r="C4" s="9" t="s">
        <v>6</v>
      </c>
      <c r="D4" s="125"/>
      <c r="E4" s="10" t="s">
        <v>44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5"/>
    </row>
    <row r="5" spans="1:306" ht="30" customHeight="1" x14ac:dyDescent="0.25">
      <c r="B5" s="53"/>
      <c r="C5" s="9" t="s">
        <v>1</v>
      </c>
      <c r="D5" s="125"/>
      <c r="E5" s="10" t="s">
        <v>45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5"/>
    </row>
    <row r="6" spans="1:306" ht="30" customHeight="1" thickBot="1" x14ac:dyDescent="0.3">
      <c r="B6" s="53"/>
      <c r="C6" s="13" t="s">
        <v>2</v>
      </c>
      <c r="D6" s="126"/>
      <c r="E6" s="14" t="s">
        <v>46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5"/>
    </row>
    <row r="7" spans="1:306" ht="20.100000000000001" customHeight="1" thickBot="1" x14ac:dyDescent="0.3">
      <c r="B7" s="53"/>
      <c r="C7" s="158"/>
      <c r="D7" s="158"/>
      <c r="E7" s="15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5"/>
    </row>
    <row r="8" spans="1:306" ht="30" customHeight="1" x14ac:dyDescent="0.25">
      <c r="B8" s="53"/>
      <c r="C8" s="5" t="s">
        <v>3</v>
      </c>
      <c r="D8" s="124"/>
      <c r="E8" s="6" t="s">
        <v>48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5"/>
    </row>
    <row r="9" spans="1:306" ht="30" customHeight="1" x14ac:dyDescent="0.25">
      <c r="B9" s="53"/>
      <c r="C9" s="9" t="s">
        <v>17</v>
      </c>
      <c r="D9" s="125"/>
      <c r="E9" s="10" t="s">
        <v>21</v>
      </c>
      <c r="F9" s="11"/>
      <c r="G9" s="162" t="str">
        <f>E96</f>
        <v>0h</v>
      </c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03"/>
      <c r="W9" s="171" t="s">
        <v>22</v>
      </c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62" t="str">
        <f>E98</f>
        <v>0h</v>
      </c>
      <c r="AI9" s="162"/>
      <c r="AJ9" s="162"/>
      <c r="AK9" s="162"/>
      <c r="AL9" s="162"/>
      <c r="AM9" s="162"/>
      <c r="AN9" s="162"/>
      <c r="AO9" s="162"/>
      <c r="AP9" s="162"/>
      <c r="AQ9" s="162"/>
      <c r="AR9" s="162"/>
      <c r="AS9" s="162"/>
      <c r="AT9" s="162"/>
      <c r="AU9" s="162"/>
      <c r="AV9" s="162"/>
      <c r="AW9" s="16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5"/>
    </row>
    <row r="10" spans="1:30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77"/>
      <c r="CR10" s="149"/>
      <c r="CS10" s="149"/>
      <c r="CT10" s="149"/>
      <c r="CU10" s="149"/>
      <c r="CV10" s="149"/>
      <c r="CW10" s="149"/>
      <c r="CX10" s="149"/>
      <c r="CY10" s="149"/>
      <c r="CZ10" s="149"/>
      <c r="DA10" s="149"/>
      <c r="DB10" s="149"/>
      <c r="DC10" s="149"/>
      <c r="DD10" s="149"/>
      <c r="DE10" s="149"/>
      <c r="DF10" s="149"/>
      <c r="DG10" s="149"/>
      <c r="DH10" s="149"/>
      <c r="DI10" s="149"/>
      <c r="DJ10" s="149"/>
      <c r="DK10" s="149"/>
      <c r="DL10" s="149"/>
      <c r="DM10" s="149"/>
      <c r="DN10" s="149"/>
      <c r="DO10" s="149"/>
      <c r="DP10" s="149"/>
      <c r="DQ10" s="149"/>
      <c r="DR10" s="149"/>
      <c r="DS10" s="149"/>
      <c r="DT10" s="149"/>
      <c r="DU10" s="149"/>
      <c r="DV10" s="149"/>
      <c r="DW10" s="149"/>
      <c r="DX10" s="149"/>
      <c r="DY10" s="149"/>
      <c r="DZ10" s="149"/>
      <c r="EA10" s="149"/>
      <c r="EB10" s="149"/>
      <c r="EC10" s="149"/>
      <c r="ED10" s="149"/>
      <c r="EE10" s="149"/>
      <c r="EF10" s="149"/>
      <c r="EG10" s="149"/>
      <c r="EH10" s="149"/>
      <c r="EI10" s="149"/>
      <c r="EJ10" s="149"/>
      <c r="EK10" s="149"/>
      <c r="EL10" s="149"/>
      <c r="EM10" s="149"/>
      <c r="EN10" s="149"/>
      <c r="EO10" s="149"/>
      <c r="EP10" s="149"/>
      <c r="EQ10" s="149"/>
      <c r="ER10" s="149"/>
      <c r="ES10" s="149"/>
      <c r="ET10" s="149"/>
      <c r="EU10" s="149"/>
      <c r="EV10" s="149"/>
      <c r="EW10" s="149"/>
      <c r="EX10" s="149"/>
      <c r="EY10" s="149"/>
      <c r="EZ10" s="149"/>
      <c r="FA10" s="149"/>
      <c r="FB10" s="149"/>
      <c r="FC10" s="149"/>
      <c r="FD10" s="149"/>
      <c r="FE10" s="149"/>
      <c r="FF10" s="149"/>
      <c r="FG10" s="149"/>
      <c r="FH10" s="149"/>
      <c r="FI10" s="149"/>
      <c r="FJ10" s="149"/>
      <c r="FK10" s="149"/>
      <c r="FL10" s="149"/>
      <c r="FM10" s="149"/>
      <c r="FN10" s="149"/>
      <c r="FO10" s="149"/>
      <c r="FP10" s="149"/>
      <c r="FQ10" s="149"/>
      <c r="FR10" s="149"/>
      <c r="FS10" s="149"/>
      <c r="FT10" s="149"/>
      <c r="FU10" s="149"/>
      <c r="FV10" s="149"/>
      <c r="FW10" s="149"/>
      <c r="FX10" s="149"/>
      <c r="FY10" s="149"/>
      <c r="FZ10" s="149"/>
      <c r="GA10" s="149"/>
      <c r="GB10" s="149"/>
      <c r="GC10" s="149"/>
      <c r="GD10" s="149"/>
      <c r="GE10" s="149"/>
      <c r="GF10" s="149"/>
      <c r="GG10" s="149"/>
      <c r="GH10" s="149"/>
      <c r="GI10" s="149"/>
      <c r="GJ10" s="149"/>
      <c r="GK10" s="149"/>
      <c r="GL10" s="149"/>
      <c r="GM10" s="149"/>
      <c r="GN10" s="149"/>
      <c r="GO10" s="149"/>
      <c r="GP10" s="149"/>
      <c r="GQ10" s="149"/>
      <c r="GR10" s="149"/>
      <c r="GS10" s="149"/>
      <c r="GT10" s="149"/>
      <c r="GU10" s="149"/>
      <c r="GV10" s="149"/>
      <c r="GW10" s="149"/>
      <c r="GX10" s="149"/>
      <c r="GY10" s="149"/>
      <c r="GZ10" s="149"/>
      <c r="HA10" s="149"/>
      <c r="HB10" s="149"/>
      <c r="HC10" s="149"/>
      <c r="HD10" s="149"/>
      <c r="HE10" s="149"/>
      <c r="HF10" s="149"/>
      <c r="HG10" s="149"/>
      <c r="HH10" s="149"/>
      <c r="HI10" s="149"/>
      <c r="HJ10" s="149"/>
      <c r="HK10" s="149"/>
      <c r="HL10" s="149"/>
      <c r="HM10" s="149"/>
      <c r="HN10" s="149"/>
      <c r="HO10" s="149"/>
      <c r="HP10" s="149"/>
      <c r="HQ10" s="149"/>
      <c r="HR10" s="149"/>
      <c r="HS10" s="149"/>
      <c r="HT10" s="149"/>
      <c r="HU10" s="149"/>
      <c r="HV10" s="149"/>
      <c r="HW10" s="149"/>
      <c r="HX10" s="149"/>
      <c r="HY10" s="149"/>
      <c r="HZ10" s="149"/>
      <c r="IA10" s="149"/>
      <c r="IB10" s="149"/>
      <c r="IC10" s="149"/>
      <c r="ID10" s="149"/>
      <c r="IE10" s="149"/>
      <c r="IF10" s="149"/>
      <c r="IG10" s="149"/>
      <c r="IH10" s="149"/>
      <c r="II10" s="149"/>
      <c r="IJ10" s="149"/>
      <c r="IK10" s="149"/>
      <c r="IL10" s="149"/>
      <c r="IM10" s="149"/>
      <c r="IN10" s="149"/>
      <c r="IO10" s="149"/>
      <c r="IP10" s="149"/>
      <c r="IQ10" s="149"/>
      <c r="IR10" s="149"/>
      <c r="IS10" s="149"/>
      <c r="IT10" s="149"/>
      <c r="IU10" s="149"/>
      <c r="IV10" s="149"/>
      <c r="IW10" s="149"/>
      <c r="IX10" s="149"/>
      <c r="IY10" s="149"/>
      <c r="IZ10" s="149"/>
      <c r="JA10" s="149"/>
      <c r="JB10" s="149"/>
      <c r="JC10" s="149"/>
      <c r="JD10" s="149"/>
      <c r="JE10" s="149"/>
      <c r="JF10" s="149"/>
      <c r="JG10" s="149"/>
      <c r="JH10" s="149"/>
      <c r="JI10" s="149"/>
      <c r="JJ10" s="149"/>
      <c r="JK10" s="149"/>
      <c r="JL10" s="149"/>
      <c r="JM10" s="149"/>
      <c r="JN10" s="149"/>
      <c r="JO10" s="149"/>
      <c r="JP10" s="149"/>
      <c r="JQ10" s="149"/>
      <c r="JR10" s="149"/>
      <c r="JS10" s="149"/>
      <c r="JT10" s="149"/>
      <c r="JU10" s="149"/>
      <c r="JV10" s="149"/>
      <c r="JW10" s="149"/>
      <c r="JX10" s="149"/>
      <c r="JY10" s="149"/>
      <c r="JZ10" s="149"/>
      <c r="KA10" s="149"/>
      <c r="KB10" s="149"/>
      <c r="KC10" s="149"/>
      <c r="KD10" s="149"/>
      <c r="KE10" s="149"/>
      <c r="KF10" s="149"/>
      <c r="KG10" s="149"/>
      <c r="KH10" s="149"/>
      <c r="KI10" s="149"/>
      <c r="KJ10" s="149"/>
      <c r="KK10" s="149"/>
      <c r="KL10" s="149"/>
      <c r="KM10" s="149"/>
      <c r="KN10" s="149"/>
      <c r="KO10" s="149"/>
      <c r="KP10" s="149"/>
      <c r="KQ10" s="149"/>
      <c r="KR10" s="149"/>
      <c r="KS10" s="149"/>
      <c r="KT10" s="75"/>
    </row>
    <row r="11" spans="1:306" ht="20.100000000000001" customHeight="1" x14ac:dyDescent="0.25">
      <c r="B11" s="53"/>
      <c r="C11" s="167"/>
      <c r="D11" s="167"/>
      <c r="E11" s="167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0"/>
      <c r="CH11" s="170"/>
      <c r="CI11" s="170"/>
      <c r="CJ11" s="170"/>
      <c r="CK11" s="170"/>
      <c r="CL11" s="170"/>
      <c r="CM11" s="170"/>
      <c r="CN11" s="170"/>
      <c r="CO11" s="170"/>
      <c r="CP11" s="170"/>
      <c r="CQ11" s="170"/>
      <c r="CR11" s="170"/>
      <c r="CS11" s="170"/>
      <c r="CT11" s="170"/>
      <c r="CU11" s="170"/>
      <c r="CV11" s="170"/>
      <c r="CW11" s="170"/>
      <c r="CX11" s="170"/>
      <c r="CY11" s="170"/>
      <c r="CZ11" s="170"/>
      <c r="DA11" s="170"/>
      <c r="DB11" s="170"/>
      <c r="DC11" s="170"/>
      <c r="DD11" s="170"/>
      <c r="DE11" s="170"/>
      <c r="DF11" s="170"/>
      <c r="DG11" s="170"/>
      <c r="DH11" s="170"/>
      <c r="DI11" s="170"/>
      <c r="DJ11" s="170"/>
      <c r="DK11" s="170"/>
      <c r="DL11" s="170"/>
      <c r="DM11" s="170"/>
      <c r="DN11" s="170"/>
      <c r="DO11" s="170"/>
      <c r="DP11" s="170"/>
      <c r="DQ11" s="170"/>
      <c r="DR11" s="170"/>
      <c r="DS11" s="170"/>
      <c r="DT11" s="170"/>
      <c r="DU11" s="170"/>
      <c r="DV11" s="150"/>
      <c r="DW11" s="150"/>
      <c r="DX11" s="150"/>
      <c r="DY11" s="150"/>
      <c r="DZ11" s="150"/>
      <c r="EA11" s="150"/>
      <c r="EB11" s="150"/>
      <c r="EC11" s="150"/>
      <c r="ED11" s="150"/>
      <c r="EE11" s="150"/>
      <c r="EF11" s="150"/>
      <c r="EG11" s="150"/>
      <c r="EH11" s="150"/>
      <c r="EI11" s="150"/>
      <c r="EJ11" s="150"/>
      <c r="EK11" s="150"/>
      <c r="EL11" s="150"/>
      <c r="EM11" s="150"/>
      <c r="EN11" s="150"/>
      <c r="EO11" s="150"/>
      <c r="EP11" s="150"/>
      <c r="EQ11" s="150"/>
      <c r="ER11" s="150"/>
      <c r="ES11" s="150"/>
      <c r="ET11" s="150"/>
      <c r="EU11" s="150"/>
      <c r="EV11" s="150"/>
      <c r="EW11" s="150"/>
      <c r="EX11" s="150"/>
      <c r="EY11" s="150"/>
      <c r="EZ11" s="150"/>
      <c r="FA11" s="150"/>
      <c r="FB11" s="150"/>
      <c r="FC11" s="150"/>
      <c r="FD11" s="150"/>
      <c r="FE11" s="150"/>
      <c r="FF11" s="150"/>
      <c r="FG11" s="150"/>
      <c r="FH11" s="150"/>
      <c r="FI11" s="150"/>
      <c r="FJ11" s="150"/>
      <c r="FK11" s="150"/>
      <c r="FL11" s="150"/>
      <c r="FM11" s="150"/>
      <c r="FN11" s="150"/>
      <c r="FO11" s="150"/>
      <c r="FP11" s="150"/>
      <c r="FQ11" s="150"/>
      <c r="FR11" s="150"/>
      <c r="FS11" s="150"/>
      <c r="FT11" s="150"/>
      <c r="FU11" s="150"/>
      <c r="FV11" s="150"/>
      <c r="FW11" s="150"/>
      <c r="FX11" s="150"/>
      <c r="FY11" s="150"/>
      <c r="FZ11" s="150"/>
      <c r="GA11" s="150"/>
      <c r="GB11" s="150"/>
      <c r="GC11" s="150"/>
      <c r="GD11" s="150"/>
      <c r="GE11" s="150"/>
      <c r="GF11" s="150"/>
      <c r="GG11" s="150"/>
      <c r="GH11" s="150"/>
      <c r="GI11" s="150"/>
      <c r="GJ11" s="150"/>
      <c r="GK11" s="150"/>
      <c r="GL11" s="150"/>
      <c r="GM11" s="150"/>
      <c r="GN11" s="150"/>
      <c r="GO11" s="150"/>
      <c r="GP11" s="150"/>
      <c r="GQ11" s="150"/>
      <c r="GR11" s="150"/>
      <c r="GS11" s="150"/>
      <c r="GT11" s="150"/>
      <c r="GU11" s="150"/>
      <c r="GV11" s="150"/>
      <c r="GW11" s="150"/>
      <c r="GX11" s="150"/>
      <c r="GY11" s="150"/>
      <c r="GZ11" s="150"/>
      <c r="HA11" s="150"/>
      <c r="HB11" s="150"/>
      <c r="HC11" s="150"/>
      <c r="HD11" s="150"/>
      <c r="HE11" s="150"/>
      <c r="HF11" s="150"/>
      <c r="HG11" s="150"/>
      <c r="HH11" s="150"/>
      <c r="HI11" s="150"/>
      <c r="HJ11" s="150"/>
      <c r="HK11" s="150"/>
      <c r="HL11" s="150"/>
      <c r="HM11" s="150"/>
      <c r="HN11" s="150"/>
      <c r="HO11" s="150"/>
      <c r="HP11" s="150"/>
      <c r="HQ11" s="150"/>
      <c r="HR11" s="150"/>
      <c r="HS11" s="150"/>
      <c r="HT11" s="150"/>
      <c r="HU11" s="150"/>
      <c r="HV11" s="150"/>
      <c r="HW11" s="150"/>
      <c r="HX11" s="150"/>
      <c r="HY11" s="150"/>
      <c r="HZ11" s="150"/>
      <c r="IA11" s="150"/>
      <c r="IB11" s="150"/>
      <c r="IC11" s="150"/>
      <c r="ID11" s="150"/>
      <c r="IE11" s="150"/>
      <c r="IF11" s="150"/>
      <c r="IG11" s="150"/>
      <c r="IH11" s="150"/>
      <c r="II11" s="150"/>
      <c r="IJ11" s="150"/>
      <c r="IK11" s="150"/>
      <c r="IL11" s="150"/>
      <c r="IM11" s="150"/>
      <c r="IN11" s="150"/>
      <c r="IO11" s="150"/>
      <c r="IP11" s="150"/>
      <c r="IQ11" s="150"/>
      <c r="IR11" s="150"/>
      <c r="IS11" s="150"/>
      <c r="IT11" s="150"/>
      <c r="IU11" s="150"/>
      <c r="IV11" s="150"/>
      <c r="IW11" s="150"/>
      <c r="IX11" s="150"/>
      <c r="IY11" s="150"/>
      <c r="IZ11" s="150"/>
      <c r="JA11" s="150"/>
      <c r="JB11" s="150"/>
      <c r="JC11" s="150"/>
      <c r="JD11" s="150"/>
      <c r="JE11" s="150"/>
      <c r="JF11" s="150"/>
      <c r="JG11" s="150"/>
      <c r="JH11" s="150"/>
      <c r="JI11" s="150"/>
      <c r="JJ11" s="150"/>
      <c r="JK11" s="150"/>
      <c r="JL11" s="150"/>
      <c r="JM11" s="150"/>
      <c r="JN11" s="150"/>
      <c r="JO11" s="150"/>
      <c r="JP11" s="150"/>
      <c r="JQ11" s="150"/>
      <c r="JR11" s="150"/>
      <c r="JS11" s="150"/>
      <c r="JT11" s="150"/>
      <c r="JU11" s="150"/>
      <c r="JV11" s="150"/>
      <c r="JW11" s="150"/>
      <c r="JX11" s="150"/>
      <c r="JY11" s="150"/>
      <c r="JZ11" s="150"/>
      <c r="KA11" s="150"/>
      <c r="KB11" s="150"/>
      <c r="KC11" s="150"/>
      <c r="KD11" s="150"/>
      <c r="KE11" s="150"/>
      <c r="KF11" s="150"/>
      <c r="KG11" s="150"/>
      <c r="KH11" s="150"/>
      <c r="KI11" s="150"/>
      <c r="KJ11" s="150"/>
      <c r="KK11" s="150"/>
      <c r="KL11" s="150"/>
      <c r="KM11" s="150"/>
      <c r="KN11" s="150"/>
      <c r="KO11" s="150"/>
      <c r="KP11" s="150"/>
      <c r="KQ11" s="150"/>
      <c r="KR11" s="150"/>
      <c r="KS11" s="150"/>
      <c r="KT11" s="75"/>
    </row>
    <row r="12" spans="1:306" ht="15.75" customHeight="1" thickBot="1" x14ac:dyDescent="0.3">
      <c r="B12" s="81"/>
      <c r="C12" s="168"/>
      <c r="D12" s="168"/>
      <c r="E12" s="168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69"/>
      <c r="BG12" s="169"/>
      <c r="BH12" s="169"/>
      <c r="BI12" s="169"/>
      <c r="BJ12" s="169"/>
      <c r="BK12" s="169"/>
      <c r="BL12" s="169"/>
      <c r="BM12" s="169"/>
      <c r="BN12" s="169"/>
      <c r="BO12" s="169"/>
      <c r="BP12" s="169"/>
      <c r="BQ12" s="169"/>
      <c r="BR12" s="169"/>
      <c r="BS12" s="169"/>
      <c r="BT12" s="169"/>
      <c r="BU12" s="169"/>
      <c r="BV12" s="169"/>
      <c r="BW12" s="169"/>
      <c r="BX12" s="169"/>
      <c r="BY12" s="169"/>
      <c r="BZ12" s="169"/>
      <c r="CA12" s="169"/>
      <c r="CB12" s="169"/>
      <c r="CC12" s="169"/>
      <c r="CD12" s="169"/>
      <c r="CE12" s="169"/>
      <c r="CF12" s="169"/>
      <c r="CG12" s="169"/>
      <c r="CH12" s="169"/>
      <c r="CI12" s="169"/>
      <c r="CJ12" s="169"/>
      <c r="CK12" s="169"/>
      <c r="CL12" s="169"/>
      <c r="CM12" s="169"/>
      <c r="CN12" s="169"/>
      <c r="CO12" s="169"/>
      <c r="CP12" s="169"/>
      <c r="CQ12" s="169"/>
      <c r="CR12" s="169"/>
      <c r="CS12" s="169"/>
      <c r="CT12" s="169"/>
      <c r="CU12" s="169"/>
      <c r="CV12" s="169"/>
      <c r="CW12" s="169"/>
      <c r="CX12" s="169"/>
      <c r="CY12" s="169"/>
      <c r="CZ12" s="169"/>
      <c r="DA12" s="169"/>
      <c r="DB12" s="169"/>
      <c r="DC12" s="169"/>
      <c r="DD12" s="169"/>
      <c r="DE12" s="169"/>
      <c r="DF12" s="169"/>
      <c r="DG12" s="169"/>
      <c r="DH12" s="169"/>
      <c r="DI12" s="169"/>
      <c r="DJ12" s="169"/>
      <c r="DK12" s="169"/>
      <c r="DL12" s="169"/>
      <c r="DM12" s="169"/>
      <c r="DN12" s="169"/>
      <c r="DO12" s="169"/>
      <c r="DP12" s="169"/>
      <c r="DQ12" s="169"/>
      <c r="DR12" s="169"/>
      <c r="DS12" s="169"/>
      <c r="DT12" s="169"/>
      <c r="DU12" s="169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/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/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151"/>
      <c r="II12" s="151"/>
      <c r="IJ12" s="151"/>
      <c r="IK12" s="151"/>
      <c r="IL12" s="151"/>
      <c r="IM12" s="151"/>
      <c r="IN12" s="151"/>
      <c r="IO12" s="151"/>
      <c r="IP12" s="151"/>
      <c r="IQ12" s="151"/>
      <c r="IR12" s="151"/>
      <c r="IS12" s="151"/>
      <c r="IT12" s="151"/>
      <c r="IU12" s="151"/>
      <c r="IV12" s="151"/>
      <c r="IW12" s="151"/>
      <c r="IX12" s="151"/>
      <c r="IY12" s="151"/>
      <c r="IZ12" s="151"/>
      <c r="JA12" s="151"/>
      <c r="JB12" s="151"/>
      <c r="JC12" s="151"/>
      <c r="JD12" s="151"/>
      <c r="JE12" s="151"/>
      <c r="JF12" s="151"/>
      <c r="JG12" s="151"/>
      <c r="JH12" s="151"/>
      <c r="JI12" s="151"/>
      <c r="JJ12" s="151"/>
      <c r="JK12" s="151"/>
      <c r="JL12" s="151"/>
      <c r="JM12" s="151"/>
      <c r="JN12" s="151"/>
      <c r="JO12" s="151"/>
      <c r="JP12" s="151"/>
      <c r="JQ12" s="151"/>
      <c r="JR12" s="151"/>
      <c r="JS12" s="151"/>
      <c r="JT12" s="151"/>
      <c r="JU12" s="151"/>
      <c r="JV12" s="151"/>
      <c r="JW12" s="151"/>
      <c r="JX12" s="151"/>
      <c r="JY12" s="151"/>
      <c r="JZ12" s="151"/>
      <c r="KA12" s="151"/>
      <c r="KB12" s="151"/>
      <c r="KC12" s="151"/>
      <c r="KD12" s="151"/>
      <c r="KE12" s="151"/>
      <c r="KF12" s="151"/>
      <c r="KG12" s="151"/>
      <c r="KH12" s="151"/>
      <c r="KI12" s="151"/>
      <c r="KJ12" s="151"/>
      <c r="KK12" s="151"/>
      <c r="KL12" s="151"/>
      <c r="KM12" s="151"/>
      <c r="KN12" s="151"/>
      <c r="KO12" s="151"/>
      <c r="KP12" s="151"/>
      <c r="KQ12" s="151"/>
      <c r="KR12" s="151"/>
      <c r="KS12" s="151"/>
      <c r="KT12" s="75"/>
    </row>
    <row r="13" spans="1:306" ht="42.75" customHeight="1" thickBot="1" x14ac:dyDescent="0.3">
      <c r="B13" s="53"/>
      <c r="C13" s="163" t="s">
        <v>7</v>
      </c>
      <c r="D13" s="128"/>
      <c r="E13" s="165" t="s">
        <v>40</v>
      </c>
      <c r="F13" s="152" t="s">
        <v>8</v>
      </c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4"/>
      <c r="BN13" s="152" t="s">
        <v>27</v>
      </c>
      <c r="BO13" s="153"/>
      <c r="BP13" s="153"/>
      <c r="BQ13" s="153"/>
      <c r="BR13" s="153"/>
      <c r="BS13" s="153"/>
      <c r="BT13" s="153"/>
      <c r="BU13" s="153"/>
      <c r="BV13" s="153"/>
      <c r="BW13" s="153"/>
      <c r="BX13" s="153"/>
      <c r="BY13" s="153"/>
      <c r="BZ13" s="153"/>
      <c r="CA13" s="153"/>
      <c r="CB13" s="153"/>
      <c r="CC13" s="153"/>
      <c r="CD13" s="153"/>
      <c r="CE13" s="153"/>
      <c r="CF13" s="153"/>
      <c r="CG13" s="153"/>
      <c r="CH13" s="153"/>
      <c r="CI13" s="153"/>
      <c r="CJ13" s="153"/>
      <c r="CK13" s="153"/>
      <c r="CL13" s="153"/>
      <c r="CM13" s="153"/>
      <c r="CN13" s="153"/>
      <c r="CO13" s="153"/>
      <c r="CP13" s="153"/>
      <c r="CQ13" s="153"/>
      <c r="CR13" s="153"/>
      <c r="CS13" s="153"/>
      <c r="CT13" s="153"/>
      <c r="CU13" s="153"/>
      <c r="CV13" s="153"/>
      <c r="CW13" s="153"/>
      <c r="CX13" s="153"/>
      <c r="CY13" s="153"/>
      <c r="CZ13" s="153"/>
      <c r="DA13" s="153"/>
      <c r="DB13" s="153"/>
      <c r="DC13" s="153"/>
      <c r="DD13" s="153"/>
      <c r="DE13" s="153"/>
      <c r="DF13" s="153"/>
      <c r="DG13" s="153"/>
      <c r="DH13" s="153"/>
      <c r="DI13" s="153"/>
      <c r="DJ13" s="153"/>
      <c r="DK13" s="153"/>
      <c r="DL13" s="153"/>
      <c r="DM13" s="153"/>
      <c r="DN13" s="153"/>
      <c r="DO13" s="153"/>
      <c r="DP13" s="153"/>
      <c r="DQ13" s="153"/>
      <c r="DR13" s="153"/>
      <c r="DS13" s="153"/>
      <c r="DT13" s="153"/>
      <c r="DU13" s="154"/>
      <c r="DV13" s="152" t="s">
        <v>18</v>
      </c>
      <c r="DW13" s="153"/>
      <c r="DX13" s="153"/>
      <c r="DY13" s="153"/>
      <c r="DZ13" s="153"/>
      <c r="EA13" s="153"/>
      <c r="EB13" s="153"/>
      <c r="EC13" s="153"/>
      <c r="ED13" s="153"/>
      <c r="EE13" s="153"/>
      <c r="EF13" s="153"/>
      <c r="EG13" s="153"/>
      <c r="EH13" s="153"/>
      <c r="EI13" s="153"/>
      <c r="EJ13" s="153"/>
      <c r="EK13" s="153"/>
      <c r="EL13" s="153"/>
      <c r="EM13" s="153"/>
      <c r="EN13" s="153"/>
      <c r="EO13" s="153"/>
      <c r="EP13" s="153"/>
      <c r="EQ13" s="153"/>
      <c r="ER13" s="153"/>
      <c r="ES13" s="153"/>
      <c r="ET13" s="153"/>
      <c r="EU13" s="153"/>
      <c r="EV13" s="153"/>
      <c r="EW13" s="153"/>
      <c r="EX13" s="153"/>
      <c r="EY13" s="153"/>
      <c r="EZ13" s="153"/>
      <c r="FA13" s="153"/>
      <c r="FB13" s="153"/>
      <c r="FC13" s="153"/>
      <c r="FD13" s="153"/>
      <c r="FE13" s="153"/>
      <c r="FF13" s="153"/>
      <c r="FG13" s="153"/>
      <c r="FH13" s="153"/>
      <c r="FI13" s="153"/>
      <c r="FJ13" s="153"/>
      <c r="FK13" s="153"/>
      <c r="FL13" s="153"/>
      <c r="FM13" s="153"/>
      <c r="FN13" s="153"/>
      <c r="FO13" s="153"/>
      <c r="FP13" s="153"/>
      <c r="FQ13" s="153"/>
      <c r="FR13" s="153"/>
      <c r="FS13" s="153"/>
      <c r="FT13" s="153"/>
      <c r="FU13" s="153"/>
      <c r="FV13" s="153"/>
      <c r="FW13" s="153"/>
      <c r="FX13" s="153"/>
      <c r="FY13" s="153"/>
      <c r="FZ13" s="153"/>
      <c r="GA13" s="153"/>
      <c r="GB13" s="153"/>
      <c r="GC13" s="154"/>
      <c r="GD13" s="152" t="s">
        <v>11</v>
      </c>
      <c r="GE13" s="153"/>
      <c r="GF13" s="153"/>
      <c r="GG13" s="153"/>
      <c r="GH13" s="153"/>
      <c r="GI13" s="153"/>
      <c r="GJ13" s="153"/>
      <c r="GK13" s="153"/>
      <c r="GL13" s="153"/>
      <c r="GM13" s="153"/>
      <c r="GN13" s="153"/>
      <c r="GO13" s="153"/>
      <c r="GP13" s="153"/>
      <c r="GQ13" s="153"/>
      <c r="GR13" s="153"/>
      <c r="GS13" s="153"/>
      <c r="GT13" s="153"/>
      <c r="GU13" s="153"/>
      <c r="GV13" s="153"/>
      <c r="GW13" s="153"/>
      <c r="GX13" s="153"/>
      <c r="GY13" s="153"/>
      <c r="GZ13" s="153"/>
      <c r="HA13" s="153"/>
      <c r="HB13" s="153"/>
      <c r="HC13" s="153"/>
      <c r="HD13" s="153"/>
      <c r="HE13" s="153"/>
      <c r="HF13" s="153"/>
      <c r="HG13" s="153"/>
      <c r="HH13" s="153"/>
      <c r="HI13" s="153"/>
      <c r="HJ13" s="153"/>
      <c r="HK13" s="153"/>
      <c r="HL13" s="153"/>
      <c r="HM13" s="153"/>
      <c r="HN13" s="153"/>
      <c r="HO13" s="153"/>
      <c r="HP13" s="153"/>
      <c r="HQ13" s="153"/>
      <c r="HR13" s="153"/>
      <c r="HS13" s="153"/>
      <c r="HT13" s="153"/>
      <c r="HU13" s="153"/>
      <c r="HV13" s="153"/>
      <c r="HW13" s="153"/>
      <c r="HX13" s="153"/>
      <c r="HY13" s="153"/>
      <c r="HZ13" s="153"/>
      <c r="IA13" s="153"/>
      <c r="IB13" s="153"/>
      <c r="IC13" s="153"/>
      <c r="ID13" s="153"/>
      <c r="IE13" s="153"/>
      <c r="IF13" s="153"/>
      <c r="IG13" s="153"/>
      <c r="IH13" s="153"/>
      <c r="II13" s="153"/>
      <c r="IJ13" s="153"/>
      <c r="IK13" s="154"/>
      <c r="IL13" s="152" t="s">
        <v>11</v>
      </c>
      <c r="IM13" s="153"/>
      <c r="IN13" s="153"/>
      <c r="IO13" s="153"/>
      <c r="IP13" s="153"/>
      <c r="IQ13" s="153"/>
      <c r="IR13" s="153"/>
      <c r="IS13" s="153"/>
      <c r="IT13" s="153"/>
      <c r="IU13" s="153"/>
      <c r="IV13" s="153"/>
      <c r="IW13" s="153"/>
      <c r="IX13" s="153"/>
      <c r="IY13" s="153"/>
      <c r="IZ13" s="153"/>
      <c r="JA13" s="153"/>
      <c r="JB13" s="153"/>
      <c r="JC13" s="153"/>
      <c r="JD13" s="153"/>
      <c r="JE13" s="153"/>
      <c r="JF13" s="153"/>
      <c r="JG13" s="153"/>
      <c r="JH13" s="153"/>
      <c r="JI13" s="153"/>
      <c r="JJ13" s="153"/>
      <c r="JK13" s="153"/>
      <c r="JL13" s="153"/>
      <c r="JM13" s="153"/>
      <c r="JN13" s="153"/>
      <c r="JO13" s="153"/>
      <c r="JP13" s="153"/>
      <c r="JQ13" s="153"/>
      <c r="JR13" s="153"/>
      <c r="JS13" s="153"/>
      <c r="JT13" s="153"/>
      <c r="JU13" s="153"/>
      <c r="JV13" s="153"/>
      <c r="JW13" s="153"/>
      <c r="JX13" s="153"/>
      <c r="JY13" s="153"/>
      <c r="JZ13" s="153"/>
      <c r="KA13" s="153"/>
      <c r="KB13" s="153"/>
      <c r="KC13" s="153"/>
      <c r="KD13" s="153"/>
      <c r="KE13" s="153"/>
      <c r="KF13" s="153"/>
      <c r="KG13" s="153"/>
      <c r="KH13" s="153"/>
      <c r="KI13" s="153"/>
      <c r="KJ13" s="153"/>
      <c r="KK13" s="153"/>
      <c r="KL13" s="153"/>
      <c r="KM13" s="153"/>
      <c r="KN13" s="153"/>
      <c r="KO13" s="153"/>
      <c r="KP13" s="153"/>
      <c r="KQ13" s="153"/>
      <c r="KR13" s="153"/>
      <c r="KS13" s="154"/>
      <c r="KT13" s="75"/>
    </row>
    <row r="14" spans="1:306" ht="12.75" customHeight="1" thickBot="1" x14ac:dyDescent="0.35">
      <c r="B14" s="53"/>
      <c r="C14" s="164"/>
      <c r="D14" s="129"/>
      <c r="E14" s="166"/>
      <c r="F14" s="87"/>
      <c r="G14" s="88"/>
      <c r="H14" s="88"/>
      <c r="I14" s="88"/>
      <c r="J14" s="155" t="s">
        <v>35</v>
      </c>
      <c r="K14" s="155"/>
      <c r="L14" s="155"/>
      <c r="M14" s="155"/>
      <c r="N14" s="88"/>
      <c r="O14" s="88"/>
      <c r="P14" s="156" t="s">
        <v>23</v>
      </c>
      <c r="Q14" s="156"/>
      <c r="R14" s="156"/>
      <c r="S14" s="156"/>
      <c r="T14" s="112"/>
      <c r="U14" s="112"/>
      <c r="V14" s="155" t="s">
        <v>36</v>
      </c>
      <c r="W14" s="155"/>
      <c r="X14" s="155"/>
      <c r="Y14" s="155"/>
      <c r="Z14" s="88"/>
      <c r="AA14" s="88"/>
      <c r="AB14" s="156" t="s">
        <v>24</v>
      </c>
      <c r="AC14" s="156"/>
      <c r="AD14" s="156"/>
      <c r="AE14" s="156"/>
      <c r="AF14" s="112"/>
      <c r="AG14" s="112"/>
      <c r="AH14" s="155" t="s">
        <v>37</v>
      </c>
      <c r="AI14" s="155"/>
      <c r="AJ14" s="155"/>
      <c r="AK14" s="155"/>
      <c r="AL14" s="88"/>
      <c r="AM14" s="88"/>
      <c r="AN14" s="156" t="s">
        <v>25</v>
      </c>
      <c r="AO14" s="156"/>
      <c r="AP14" s="156"/>
      <c r="AQ14" s="156"/>
      <c r="AR14" s="112"/>
      <c r="AS14" s="112"/>
      <c r="AT14" s="155" t="s">
        <v>38</v>
      </c>
      <c r="AU14" s="155"/>
      <c r="AV14" s="155"/>
      <c r="AW14" s="155"/>
      <c r="AX14" s="88"/>
      <c r="AY14" s="88"/>
      <c r="AZ14" s="156" t="s">
        <v>26</v>
      </c>
      <c r="BA14" s="156"/>
      <c r="BB14" s="156"/>
      <c r="BC14" s="156"/>
      <c r="BD14" s="112"/>
      <c r="BE14" s="112"/>
      <c r="BF14" s="155" t="s">
        <v>39</v>
      </c>
      <c r="BG14" s="155"/>
      <c r="BH14" s="155"/>
      <c r="BI14" s="155"/>
      <c r="BJ14" s="88"/>
      <c r="BK14" s="88"/>
      <c r="BL14" s="88"/>
      <c r="BM14" s="89"/>
      <c r="BN14" s="87"/>
      <c r="BO14" s="88"/>
      <c r="BP14" s="88"/>
      <c r="BQ14" s="88"/>
      <c r="BR14" s="155" t="s">
        <v>35</v>
      </c>
      <c r="BS14" s="155"/>
      <c r="BT14" s="155"/>
      <c r="BU14" s="155"/>
      <c r="BV14" s="88"/>
      <c r="BW14" s="88"/>
      <c r="BX14" s="156" t="s">
        <v>23</v>
      </c>
      <c r="BY14" s="156"/>
      <c r="BZ14" s="156"/>
      <c r="CA14" s="156"/>
      <c r="CB14" s="112"/>
      <c r="CC14" s="112"/>
      <c r="CD14" s="155" t="s">
        <v>36</v>
      </c>
      <c r="CE14" s="155"/>
      <c r="CF14" s="155"/>
      <c r="CG14" s="155"/>
      <c r="CH14" s="88"/>
      <c r="CI14" s="88"/>
      <c r="CJ14" s="156" t="s">
        <v>24</v>
      </c>
      <c r="CK14" s="156"/>
      <c r="CL14" s="156"/>
      <c r="CM14" s="156"/>
      <c r="CN14" s="112"/>
      <c r="CO14" s="112"/>
      <c r="CP14" s="155" t="s">
        <v>37</v>
      </c>
      <c r="CQ14" s="155"/>
      <c r="CR14" s="155"/>
      <c r="CS14" s="155"/>
      <c r="CT14" s="88"/>
      <c r="CU14" s="88"/>
      <c r="CV14" s="156" t="s">
        <v>25</v>
      </c>
      <c r="CW14" s="156"/>
      <c r="CX14" s="156"/>
      <c r="CY14" s="156"/>
      <c r="CZ14" s="112"/>
      <c r="DA14" s="112"/>
      <c r="DB14" s="155" t="s">
        <v>38</v>
      </c>
      <c r="DC14" s="155"/>
      <c r="DD14" s="155"/>
      <c r="DE14" s="155"/>
      <c r="DF14" s="88"/>
      <c r="DG14" s="88"/>
      <c r="DH14" s="156" t="s">
        <v>26</v>
      </c>
      <c r="DI14" s="156"/>
      <c r="DJ14" s="156"/>
      <c r="DK14" s="156"/>
      <c r="DL14" s="112"/>
      <c r="DM14" s="112"/>
      <c r="DN14" s="155" t="s">
        <v>39</v>
      </c>
      <c r="DO14" s="155"/>
      <c r="DP14" s="155"/>
      <c r="DQ14" s="155"/>
      <c r="DR14" s="88"/>
      <c r="DS14" s="88"/>
      <c r="DT14" s="88"/>
      <c r="DU14" s="89"/>
      <c r="DV14" s="87"/>
      <c r="DW14" s="88"/>
      <c r="DX14" s="88"/>
      <c r="DY14" s="88"/>
      <c r="DZ14" s="155" t="s">
        <v>35</v>
      </c>
      <c r="EA14" s="155"/>
      <c r="EB14" s="155"/>
      <c r="EC14" s="155"/>
      <c r="ED14" s="88"/>
      <c r="EE14" s="88"/>
      <c r="EF14" s="156" t="s">
        <v>23</v>
      </c>
      <c r="EG14" s="156"/>
      <c r="EH14" s="156"/>
      <c r="EI14" s="156"/>
      <c r="EJ14" s="112"/>
      <c r="EK14" s="112"/>
      <c r="EL14" s="155" t="s">
        <v>36</v>
      </c>
      <c r="EM14" s="155"/>
      <c r="EN14" s="155"/>
      <c r="EO14" s="155"/>
      <c r="EP14" s="88"/>
      <c r="EQ14" s="88"/>
      <c r="ER14" s="156" t="s">
        <v>24</v>
      </c>
      <c r="ES14" s="156"/>
      <c r="ET14" s="156"/>
      <c r="EU14" s="156"/>
      <c r="EV14" s="112"/>
      <c r="EW14" s="112"/>
      <c r="EX14" s="155" t="s">
        <v>37</v>
      </c>
      <c r="EY14" s="155"/>
      <c r="EZ14" s="155"/>
      <c r="FA14" s="155"/>
      <c r="FB14" s="88"/>
      <c r="FC14" s="88"/>
      <c r="FD14" s="156" t="s">
        <v>25</v>
      </c>
      <c r="FE14" s="156"/>
      <c r="FF14" s="156"/>
      <c r="FG14" s="156"/>
      <c r="FH14" s="112"/>
      <c r="FI14" s="112"/>
      <c r="FJ14" s="155" t="s">
        <v>38</v>
      </c>
      <c r="FK14" s="155"/>
      <c r="FL14" s="155"/>
      <c r="FM14" s="155"/>
      <c r="FN14" s="88"/>
      <c r="FO14" s="88"/>
      <c r="FP14" s="156" t="s">
        <v>26</v>
      </c>
      <c r="FQ14" s="156"/>
      <c r="FR14" s="156"/>
      <c r="FS14" s="156"/>
      <c r="FT14" s="112"/>
      <c r="FU14" s="112"/>
      <c r="FV14" s="155" t="s">
        <v>39</v>
      </c>
      <c r="FW14" s="155"/>
      <c r="FX14" s="155"/>
      <c r="FY14" s="155"/>
      <c r="FZ14" s="88"/>
      <c r="GA14" s="88"/>
      <c r="GB14" s="88"/>
      <c r="GC14" s="89"/>
      <c r="GD14" s="87"/>
      <c r="GE14" s="88"/>
      <c r="GF14" s="88"/>
      <c r="GG14" s="88"/>
      <c r="GH14" s="155" t="s">
        <v>35</v>
      </c>
      <c r="GI14" s="155"/>
      <c r="GJ14" s="155"/>
      <c r="GK14" s="155"/>
      <c r="GL14" s="88"/>
      <c r="GM14" s="88"/>
      <c r="GN14" s="156" t="s">
        <v>23</v>
      </c>
      <c r="GO14" s="156"/>
      <c r="GP14" s="156"/>
      <c r="GQ14" s="156"/>
      <c r="GR14" s="112"/>
      <c r="GS14" s="112"/>
      <c r="GT14" s="155" t="s">
        <v>36</v>
      </c>
      <c r="GU14" s="155"/>
      <c r="GV14" s="155"/>
      <c r="GW14" s="155"/>
      <c r="GX14" s="88"/>
      <c r="GY14" s="88"/>
      <c r="GZ14" s="156" t="s">
        <v>24</v>
      </c>
      <c r="HA14" s="156"/>
      <c r="HB14" s="156"/>
      <c r="HC14" s="156"/>
      <c r="HD14" s="112"/>
      <c r="HE14" s="112"/>
      <c r="HF14" s="155" t="s">
        <v>37</v>
      </c>
      <c r="HG14" s="155"/>
      <c r="HH14" s="155"/>
      <c r="HI14" s="155"/>
      <c r="HJ14" s="88"/>
      <c r="HK14" s="88"/>
      <c r="HL14" s="156" t="s">
        <v>25</v>
      </c>
      <c r="HM14" s="156"/>
      <c r="HN14" s="156"/>
      <c r="HO14" s="156"/>
      <c r="HP14" s="112"/>
      <c r="HQ14" s="112"/>
      <c r="HR14" s="155" t="s">
        <v>38</v>
      </c>
      <c r="HS14" s="155"/>
      <c r="HT14" s="155"/>
      <c r="HU14" s="155"/>
      <c r="HV14" s="88"/>
      <c r="HW14" s="88"/>
      <c r="HX14" s="156" t="s">
        <v>26</v>
      </c>
      <c r="HY14" s="156"/>
      <c r="HZ14" s="156"/>
      <c r="IA14" s="156"/>
      <c r="IB14" s="112"/>
      <c r="IC14" s="112"/>
      <c r="ID14" s="155" t="s">
        <v>39</v>
      </c>
      <c r="IE14" s="155"/>
      <c r="IF14" s="155"/>
      <c r="IG14" s="155"/>
      <c r="IH14" s="88"/>
      <c r="II14" s="88"/>
      <c r="IJ14" s="88"/>
      <c r="IK14" s="89"/>
      <c r="IL14" s="87"/>
      <c r="IM14" s="88"/>
      <c r="IN14" s="88"/>
      <c r="IO14" s="88"/>
      <c r="IP14" s="155" t="s">
        <v>35</v>
      </c>
      <c r="IQ14" s="155"/>
      <c r="IR14" s="155"/>
      <c r="IS14" s="155"/>
      <c r="IT14" s="88"/>
      <c r="IU14" s="88"/>
      <c r="IV14" s="156" t="s">
        <v>23</v>
      </c>
      <c r="IW14" s="156"/>
      <c r="IX14" s="156"/>
      <c r="IY14" s="156"/>
      <c r="IZ14" s="112"/>
      <c r="JA14" s="112"/>
      <c r="JB14" s="155" t="s">
        <v>36</v>
      </c>
      <c r="JC14" s="155"/>
      <c r="JD14" s="155"/>
      <c r="JE14" s="155"/>
      <c r="JF14" s="88"/>
      <c r="JG14" s="88"/>
      <c r="JH14" s="156" t="s">
        <v>24</v>
      </c>
      <c r="JI14" s="156"/>
      <c r="JJ14" s="156"/>
      <c r="JK14" s="156"/>
      <c r="JL14" s="112"/>
      <c r="JM14" s="112"/>
      <c r="JN14" s="155" t="s">
        <v>37</v>
      </c>
      <c r="JO14" s="155"/>
      <c r="JP14" s="155"/>
      <c r="JQ14" s="155"/>
      <c r="JR14" s="88"/>
      <c r="JS14" s="88"/>
      <c r="JT14" s="156" t="s">
        <v>25</v>
      </c>
      <c r="JU14" s="156"/>
      <c r="JV14" s="156"/>
      <c r="JW14" s="156"/>
      <c r="JX14" s="112"/>
      <c r="JY14" s="112"/>
      <c r="JZ14" s="155" t="s">
        <v>38</v>
      </c>
      <c r="KA14" s="155"/>
      <c r="KB14" s="155"/>
      <c r="KC14" s="155"/>
      <c r="KD14" s="88"/>
      <c r="KE14" s="88"/>
      <c r="KF14" s="156" t="s">
        <v>26</v>
      </c>
      <c r="KG14" s="156"/>
      <c r="KH14" s="156"/>
      <c r="KI14" s="156"/>
      <c r="KJ14" s="112"/>
      <c r="KK14" s="112"/>
      <c r="KL14" s="155" t="s">
        <v>39</v>
      </c>
      <c r="KM14" s="155"/>
      <c r="KN14" s="155"/>
      <c r="KO14" s="155"/>
      <c r="KP14" s="88"/>
      <c r="KQ14" s="88"/>
      <c r="KR14" s="88"/>
      <c r="KS14" s="89"/>
      <c r="KT14" s="75"/>
    </row>
    <row r="15" spans="1:3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59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75"/>
    </row>
    <row r="16" spans="1:306" ht="20.100000000000001" customHeight="1" x14ac:dyDescent="0.25">
      <c r="A16" s="84" t="s">
        <v>20</v>
      </c>
      <c r="B16" s="53" t="str">
        <f>IF(LEN(C17)=0,"",C17)</f>
        <v>Analyse - Planification initiale</v>
      </c>
      <c r="C16" s="160"/>
      <c r="D16" s="131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75"/>
    </row>
    <row r="17" spans="1:306" ht="20.100000000000001" customHeight="1" x14ac:dyDescent="0.25">
      <c r="A17" s="84" t="s">
        <v>19</v>
      </c>
      <c r="B17" s="53" t="str">
        <f>IF(LEN(C19)=0,"",C19)</f>
        <v>Réalisation - Interfaces</v>
      </c>
      <c r="C17" s="159" t="s">
        <v>31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75"/>
    </row>
    <row r="18" spans="1:306" ht="20.100000000000001" customHeight="1" x14ac:dyDescent="0.3">
      <c r="A18" s="84" t="s">
        <v>20</v>
      </c>
      <c r="B18" s="53" t="str">
        <f>IF(LEN(C21)=0,"",C21)</f>
        <v>Doc - Journal de travail</v>
      </c>
      <c r="C18" s="160"/>
      <c r="D18" s="132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75"/>
    </row>
    <row r="19" spans="1:306" ht="20.100000000000001" customHeight="1" x14ac:dyDescent="0.25">
      <c r="A19" s="84" t="s">
        <v>19</v>
      </c>
      <c r="B19" s="53" t="str">
        <f>IF(LEN(C23)=0,"",C23)</f>
        <v>Doc - Rapport</v>
      </c>
      <c r="C19" s="159" t="s">
        <v>32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75"/>
    </row>
    <row r="20" spans="1:306" ht="20.100000000000001" customHeight="1" x14ac:dyDescent="0.25">
      <c r="A20" s="84" t="s">
        <v>20</v>
      </c>
      <c r="B20" s="53" t="str">
        <f>IF(LEN(C25)=0,"",C25)</f>
        <v>Visite expert 2</v>
      </c>
      <c r="C20" s="161"/>
      <c r="D20" s="131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75"/>
    </row>
    <row r="21" spans="1:306" ht="20.100000000000001" customHeight="1" x14ac:dyDescent="0.25">
      <c r="A21" s="84" t="s">
        <v>19</v>
      </c>
      <c r="B21" s="53" t="str">
        <f>IF(LEN(C27)=0,"",C27)</f>
        <v>Analyse du CDC</v>
      </c>
      <c r="C21" s="159" t="s">
        <v>16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75"/>
    </row>
    <row r="22" spans="1:306" ht="20.100000000000001" customHeight="1" x14ac:dyDescent="0.25">
      <c r="A22" s="84" t="s">
        <v>20</v>
      </c>
      <c r="B22" s="53" t="str">
        <f>IF(LEN(C29)=0,"",C29)</f>
        <v>Initialisation repo Github</v>
      </c>
      <c r="C22" s="161"/>
      <c r="D22" s="131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75"/>
    </row>
    <row r="23" spans="1:306" ht="20.100000000000001" customHeight="1" x14ac:dyDescent="0.25">
      <c r="A23" s="84" t="s">
        <v>19</v>
      </c>
      <c r="B23" s="53" t="str">
        <f>IF(LEN(C31)=0,"",C31)</f>
        <v>Maquettes FIGMA</v>
      </c>
      <c r="C23" s="159" t="s">
        <v>15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75"/>
    </row>
    <row r="24" spans="1:306" ht="20.100000000000001" customHeight="1" x14ac:dyDescent="0.25">
      <c r="A24" s="84" t="s">
        <v>20</v>
      </c>
      <c r="B24" s="53" t="str">
        <f>IF(LEN(C33)=0,"",C33)</f>
        <v>backend - Initialisation structure Laravel</v>
      </c>
      <c r="C24" s="161"/>
      <c r="D24" s="131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75"/>
    </row>
    <row r="25" spans="1:306" ht="20.100000000000001" customHeight="1" x14ac:dyDescent="0.25">
      <c r="A25" s="84" t="s">
        <v>19</v>
      </c>
      <c r="B25" s="53" t="str">
        <f>IF(LEN(C35)=0,"",C35)</f>
        <v>frontend - Initialisation structure Angular</v>
      </c>
      <c r="C25" s="159" t="s">
        <v>47</v>
      </c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75"/>
    </row>
    <row r="26" spans="1:306" ht="20.100000000000001" customHeight="1" x14ac:dyDescent="0.3">
      <c r="A26" s="84" t="s">
        <v>20</v>
      </c>
      <c r="B26" s="53" t="str">
        <f>IF(LEN(C37)=0,"",C37)</f>
        <v>backend - CRUD movies</v>
      </c>
      <c r="C26" s="160"/>
      <c r="D26" s="132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75"/>
    </row>
    <row r="27" spans="1:306" ht="20.100000000000001" customHeight="1" x14ac:dyDescent="0.25">
      <c r="A27" s="84" t="s">
        <v>19</v>
      </c>
      <c r="B27" s="53" t="str">
        <f>IF(LEN(C39)=0,"",C39)</f>
        <v>backend - CRUD quotes</v>
      </c>
      <c r="C27" s="159" t="s">
        <v>51</v>
      </c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75"/>
    </row>
    <row r="28" spans="1:306" ht="20.100000000000001" customHeight="1" x14ac:dyDescent="0.3">
      <c r="A28" s="84" t="s">
        <v>20</v>
      </c>
      <c r="B28" s="53" t="str">
        <f>IF(LEN(C41)=0,"",C41)</f>
        <v>backend - Gestion auth/users</v>
      </c>
      <c r="C28" s="160"/>
      <c r="D28" s="132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75"/>
    </row>
    <row r="29" spans="1:306" ht="20.100000000000001" customHeight="1" x14ac:dyDescent="0.25">
      <c r="A29" s="84" t="s">
        <v>19</v>
      </c>
      <c r="B29" s="53" t="str">
        <f>IF(LEN(C43)=0,"",C43)</f>
        <v>backend - Sécurité</v>
      </c>
      <c r="C29" s="159" t="s">
        <v>52</v>
      </c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75"/>
    </row>
    <row r="30" spans="1:306" ht="20.100000000000001" customHeight="1" x14ac:dyDescent="0.3">
      <c r="A30" s="84" t="s">
        <v>20</v>
      </c>
      <c r="B30" s="53" t="str">
        <f>IF(LEN(C45)=0,"",C45)</f>
        <v>backend - Rôles et accès</v>
      </c>
      <c r="C30" s="160"/>
      <c r="D30" s="132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75"/>
    </row>
    <row r="31" spans="1:306" ht="20.100000000000001" customHeight="1" x14ac:dyDescent="0.25">
      <c r="A31" s="84" t="s">
        <v>19</v>
      </c>
      <c r="B31" s="53" t="str">
        <f>IF(LEN(C47)=0,"",C47)</f>
        <v>frontend - Bases des pages principales</v>
      </c>
      <c r="C31" s="159" t="s">
        <v>53</v>
      </c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75"/>
    </row>
    <row r="32" spans="1:306" ht="20.100000000000001" customHeight="1" x14ac:dyDescent="0.3">
      <c r="A32" s="84" t="s">
        <v>20</v>
      </c>
      <c r="B32" s="53" t="str">
        <f>IF(LEN(C49)=0,"",C49)</f>
        <v>frontend - Page d'accueil</v>
      </c>
      <c r="C32" s="160"/>
      <c r="D32" s="132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75"/>
    </row>
    <row r="33" spans="1:306" ht="20.100000000000001" customHeight="1" x14ac:dyDescent="0.25">
      <c r="A33" s="84" t="s">
        <v>19</v>
      </c>
      <c r="B33" s="53" t="str">
        <f>IF(LEN(C51)=0,"",C51)</f>
        <v>frontend - Login/Signup</v>
      </c>
      <c r="C33" s="159" t="s">
        <v>62</v>
      </c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75"/>
    </row>
    <row r="34" spans="1:306" ht="20.100000000000001" customHeight="1" x14ac:dyDescent="0.3">
      <c r="A34" s="84" t="s">
        <v>20</v>
      </c>
      <c r="B34" s="53" t="str">
        <f>IF(LEN(C53)=0,"",C53)</f>
        <v>frontend - interfaces CRUD (films, citations etc)</v>
      </c>
      <c r="C34" s="160"/>
      <c r="D34" s="132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75"/>
    </row>
    <row r="35" spans="1:306" ht="20.100000000000001" customHeight="1" x14ac:dyDescent="0.25">
      <c r="A35" s="84" t="s">
        <v>19</v>
      </c>
      <c r="B35" s="53" t="str">
        <f>IF(LEN(C55)=0,"",C55)</f>
        <v>frontend - gestion des erreurs</v>
      </c>
      <c r="C35" s="159" t="s">
        <v>63</v>
      </c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75"/>
    </row>
    <row r="36" spans="1:306" ht="20.100000000000001" customHeight="1" x14ac:dyDescent="0.25">
      <c r="A36" s="84" t="s">
        <v>20</v>
      </c>
      <c r="B36" s="53" t="str">
        <f>IF(LEN(C57)=0,"",C57)</f>
        <v>backend - gestion des erreurs</v>
      </c>
      <c r="C36" s="161"/>
      <c r="D36" s="131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75"/>
    </row>
    <row r="37" spans="1:306" ht="20.100000000000001" customHeight="1" x14ac:dyDescent="0.25">
      <c r="A37" s="84" t="s">
        <v>19</v>
      </c>
      <c r="B37" s="53" t="str">
        <f>IF(LEN(C59)=0,"",C59)</f>
        <v/>
      </c>
      <c r="C37" s="159" t="s">
        <v>54</v>
      </c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75"/>
    </row>
    <row r="38" spans="1:306" ht="20.100000000000001" customHeight="1" x14ac:dyDescent="0.3">
      <c r="A38" s="84" t="s">
        <v>20</v>
      </c>
      <c r="B38" s="53" t="str">
        <f>IF(LEN(C61)=0,"",C61)</f>
        <v/>
      </c>
      <c r="C38" s="160"/>
      <c r="D38" s="132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75"/>
    </row>
    <row r="39" spans="1:306" ht="20.100000000000001" customHeight="1" x14ac:dyDescent="0.25">
      <c r="A39" s="84" t="s">
        <v>19</v>
      </c>
      <c r="B39" s="53" t="str">
        <f>IF(LEN(C63)=0,"",C63)</f>
        <v/>
      </c>
      <c r="C39" s="159" t="s">
        <v>55</v>
      </c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75"/>
    </row>
    <row r="40" spans="1:306" ht="20.100000000000001" customHeight="1" x14ac:dyDescent="0.25">
      <c r="A40" s="84" t="s">
        <v>20</v>
      </c>
      <c r="B40" s="53" t="str">
        <f>IF(LEN(C65)=0,"",C65)</f>
        <v/>
      </c>
      <c r="C40" s="161"/>
      <c r="D40" s="131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75"/>
    </row>
    <row r="41" spans="1:306" ht="20.100000000000001" customHeight="1" x14ac:dyDescent="0.25">
      <c r="A41" s="84" t="s">
        <v>19</v>
      </c>
      <c r="B41" s="53" t="str">
        <f>IF(LEN(C67)=0,"",C67)</f>
        <v/>
      </c>
      <c r="C41" s="159" t="s">
        <v>57</v>
      </c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75"/>
    </row>
    <row r="42" spans="1:306" ht="20.100000000000001" customHeight="1" x14ac:dyDescent="0.3">
      <c r="A42" s="84" t="s">
        <v>20</v>
      </c>
      <c r="B42" s="53" t="str">
        <f>IF(LEN(C69)=0,"",C69)</f>
        <v/>
      </c>
      <c r="C42" s="160"/>
      <c r="D42" s="132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75"/>
    </row>
    <row r="43" spans="1:306" ht="20.100000000000001" customHeight="1" x14ac:dyDescent="0.25">
      <c r="A43" s="84" t="s">
        <v>19</v>
      </c>
      <c r="B43" s="53" t="str">
        <f>IF(LEN(C71)=0,"",C71)</f>
        <v/>
      </c>
      <c r="C43" s="159" t="s">
        <v>56</v>
      </c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75"/>
    </row>
    <row r="44" spans="1:306" ht="20.100000000000001" customHeight="1" x14ac:dyDescent="0.3">
      <c r="A44" s="84" t="s">
        <v>20</v>
      </c>
      <c r="B44" s="53" t="str">
        <f>IF(LEN(C73)=0,"",C73)</f>
        <v/>
      </c>
      <c r="C44" s="160"/>
      <c r="D44" s="132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75"/>
    </row>
    <row r="45" spans="1:306" ht="20.100000000000001" customHeight="1" x14ac:dyDescent="0.25">
      <c r="A45" s="84" t="s">
        <v>19</v>
      </c>
      <c r="B45" s="53" t="str">
        <f>IF(LEN(C75)=0,"",C75)</f>
        <v/>
      </c>
      <c r="C45" s="159" t="s">
        <v>58</v>
      </c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75"/>
    </row>
    <row r="46" spans="1:306" ht="20.100000000000001" customHeight="1" x14ac:dyDescent="0.25">
      <c r="A46" s="84" t="s">
        <v>20</v>
      </c>
      <c r="B46" s="53" t="str">
        <f>IF(LEN(C77)=0,"",C77)</f>
        <v/>
      </c>
      <c r="C46" s="161"/>
      <c r="D46" s="131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75"/>
    </row>
    <row r="47" spans="1:306" ht="20.100000000000001" customHeight="1" x14ac:dyDescent="0.25">
      <c r="A47" s="84" t="s">
        <v>19</v>
      </c>
      <c r="B47" s="53" t="str">
        <f>IF(LEN(C79)=0,"",C79)</f>
        <v/>
      </c>
      <c r="C47" s="159" t="s">
        <v>59</v>
      </c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75"/>
    </row>
    <row r="48" spans="1:306" ht="20.100000000000001" customHeight="1" x14ac:dyDescent="0.3">
      <c r="A48" s="84" t="s">
        <v>20</v>
      </c>
      <c r="B48" s="53" t="str">
        <f>IF(LEN(C81)=0,"",C81)</f>
        <v/>
      </c>
      <c r="C48" s="160"/>
      <c r="D48" s="132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75"/>
    </row>
    <row r="49" spans="1:306" ht="20.100000000000001" customHeight="1" x14ac:dyDescent="0.25">
      <c r="A49" s="84" t="s">
        <v>19</v>
      </c>
      <c r="B49" s="53" t="str">
        <f>IF(LEN(C83)=0,"",C83)</f>
        <v/>
      </c>
      <c r="C49" s="159" t="s">
        <v>60</v>
      </c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75"/>
    </row>
    <row r="50" spans="1:306" ht="20.100000000000001" customHeight="1" x14ac:dyDescent="0.3">
      <c r="A50" s="84" t="s">
        <v>20</v>
      </c>
      <c r="B50" s="53" t="str">
        <f>IF(LEN(C85)=0,"",C85)</f>
        <v/>
      </c>
      <c r="C50" s="160"/>
      <c r="D50" s="132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75"/>
    </row>
    <row r="51" spans="1:306" ht="20.100000000000001" customHeight="1" x14ac:dyDescent="0.25">
      <c r="A51" s="84" t="s">
        <v>19</v>
      </c>
      <c r="B51" s="53" t="str">
        <f>IF(LEN(C87)=0,"",C87)</f>
        <v/>
      </c>
      <c r="C51" s="159" t="s">
        <v>61</v>
      </c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75"/>
    </row>
    <row r="52" spans="1:306" ht="20.100000000000001" customHeight="1" x14ac:dyDescent="0.25">
      <c r="A52" s="84" t="s">
        <v>20</v>
      </c>
      <c r="B52" s="53" t="str">
        <f>IF(LEN(C89)=0,"",C89)</f>
        <v/>
      </c>
      <c r="C52" s="161"/>
      <c r="D52" s="131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75"/>
    </row>
    <row r="53" spans="1:306" ht="20.100000000000001" customHeight="1" x14ac:dyDescent="0.25">
      <c r="A53" s="84" t="s">
        <v>19</v>
      </c>
      <c r="B53" s="53" t="str">
        <f>IF(LEN(C91)=0,"",C91)</f>
        <v/>
      </c>
      <c r="C53" s="159" t="s">
        <v>64</v>
      </c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75"/>
    </row>
    <row r="54" spans="1:306" ht="20.100000000000001" customHeight="1" x14ac:dyDescent="0.3">
      <c r="A54" s="84" t="s">
        <v>20</v>
      </c>
      <c r="B54" s="53" t="str">
        <f>IF(LEN(C93)=0,"",C93)</f>
        <v/>
      </c>
      <c r="C54" s="160"/>
      <c r="D54" s="132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75"/>
    </row>
    <row r="55" spans="1:306" ht="20.100000000000001" customHeight="1" x14ac:dyDescent="0.25">
      <c r="A55" s="84" t="s">
        <v>19</v>
      </c>
      <c r="B55" s="53"/>
      <c r="C55" s="159" t="s">
        <v>65</v>
      </c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75"/>
    </row>
    <row r="56" spans="1:306" ht="20.100000000000001" customHeight="1" x14ac:dyDescent="0.25">
      <c r="A56" s="84" t="s">
        <v>20</v>
      </c>
      <c r="B56" s="53"/>
      <c r="C56" s="161"/>
      <c r="D56" s="131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75"/>
    </row>
    <row r="57" spans="1:306" ht="20.100000000000001" customHeight="1" x14ac:dyDescent="0.25">
      <c r="A57" s="84" t="s">
        <v>19</v>
      </c>
      <c r="B57" s="53"/>
      <c r="C57" s="159" t="s">
        <v>66</v>
      </c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75"/>
    </row>
    <row r="58" spans="1:306" ht="20.100000000000001" customHeight="1" x14ac:dyDescent="0.3">
      <c r="A58" s="84" t="s">
        <v>20</v>
      </c>
      <c r="B58" s="53"/>
      <c r="C58" s="160"/>
      <c r="D58" s="132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75"/>
    </row>
    <row r="59" spans="1:306" ht="20.100000000000001" customHeight="1" x14ac:dyDescent="0.25">
      <c r="A59" s="84" t="s">
        <v>19</v>
      </c>
      <c r="B59" s="53"/>
      <c r="C59" s="159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75"/>
    </row>
    <row r="60" spans="1:306" ht="20.100000000000001" customHeight="1" x14ac:dyDescent="0.3">
      <c r="A60" s="84" t="s">
        <v>20</v>
      </c>
      <c r="B60" s="53"/>
      <c r="C60" s="160"/>
      <c r="D60" s="132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75"/>
    </row>
    <row r="61" spans="1:306" ht="20.100000000000001" customHeight="1" x14ac:dyDescent="0.25">
      <c r="A61" s="84" t="s">
        <v>19</v>
      </c>
      <c r="B61" s="53"/>
      <c r="C61" s="159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75"/>
    </row>
    <row r="62" spans="1:306" ht="20.100000000000001" customHeight="1" x14ac:dyDescent="0.25">
      <c r="A62" s="84" t="s">
        <v>20</v>
      </c>
      <c r="B62" s="53"/>
      <c r="C62" s="161"/>
      <c r="D62" s="131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75"/>
    </row>
    <row r="63" spans="1:306" ht="20.100000000000001" customHeight="1" x14ac:dyDescent="0.25">
      <c r="A63" s="84" t="s">
        <v>19</v>
      </c>
      <c r="B63" s="53"/>
      <c r="C63" s="159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75"/>
    </row>
    <row r="64" spans="1:306" ht="20.100000000000001" customHeight="1" x14ac:dyDescent="0.3">
      <c r="A64" s="84" t="s">
        <v>20</v>
      </c>
      <c r="B64" s="53"/>
      <c r="C64" s="160"/>
      <c r="D64" s="132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75"/>
    </row>
    <row r="65" spans="1:306" ht="20.100000000000001" customHeight="1" x14ac:dyDescent="0.25">
      <c r="A65" s="84" t="s">
        <v>19</v>
      </c>
      <c r="B65" s="53"/>
      <c r="C65" s="159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75"/>
    </row>
    <row r="66" spans="1:306" ht="20.100000000000001" customHeight="1" x14ac:dyDescent="0.3">
      <c r="A66" s="84" t="s">
        <v>20</v>
      </c>
      <c r="B66" s="53"/>
      <c r="C66" s="160"/>
      <c r="D66" s="132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75"/>
    </row>
    <row r="67" spans="1:306" ht="20.100000000000001" customHeight="1" x14ac:dyDescent="0.25">
      <c r="A67" s="84" t="s">
        <v>19</v>
      </c>
      <c r="B67" s="53"/>
      <c r="C67" s="159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75"/>
    </row>
    <row r="68" spans="1:306" ht="20.100000000000001" customHeight="1" x14ac:dyDescent="0.25">
      <c r="A68" s="84" t="s">
        <v>20</v>
      </c>
      <c r="B68" s="53"/>
      <c r="C68" s="161"/>
      <c r="D68" s="131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75"/>
    </row>
    <row r="69" spans="1:306" ht="20.100000000000001" customHeight="1" x14ac:dyDescent="0.25">
      <c r="A69" s="84" t="s">
        <v>19</v>
      </c>
      <c r="B69" s="53"/>
      <c r="C69" s="159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75"/>
    </row>
    <row r="70" spans="1:306" ht="20.100000000000001" customHeight="1" x14ac:dyDescent="0.3">
      <c r="A70" s="84" t="s">
        <v>20</v>
      </c>
      <c r="B70" s="53"/>
      <c r="C70" s="160"/>
      <c r="D70" s="132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75"/>
    </row>
    <row r="71" spans="1:306" ht="20.100000000000001" customHeight="1" x14ac:dyDescent="0.25">
      <c r="A71" s="84" t="s">
        <v>19</v>
      </c>
      <c r="B71" s="53"/>
      <c r="C71" s="159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75"/>
    </row>
    <row r="72" spans="1:306" ht="20.100000000000001" customHeight="1" x14ac:dyDescent="0.25">
      <c r="A72" s="84" t="s">
        <v>20</v>
      </c>
      <c r="B72" s="53"/>
      <c r="C72" s="161"/>
      <c r="D72" s="131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75"/>
    </row>
    <row r="73" spans="1:306" ht="20.100000000000001" customHeight="1" x14ac:dyDescent="0.25">
      <c r="A73" s="84" t="s">
        <v>19</v>
      </c>
      <c r="B73" s="53"/>
      <c r="C73" s="159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75"/>
    </row>
    <row r="74" spans="1:306" ht="20.100000000000001" customHeight="1" x14ac:dyDescent="0.3">
      <c r="A74" s="84" t="s">
        <v>20</v>
      </c>
      <c r="B74" s="53"/>
      <c r="C74" s="160"/>
      <c r="D74" s="132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75"/>
    </row>
    <row r="75" spans="1:306" ht="20.100000000000001" customHeight="1" x14ac:dyDescent="0.25">
      <c r="A75" s="84" t="s">
        <v>19</v>
      </c>
      <c r="B75" s="53"/>
      <c r="C75" s="159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75"/>
    </row>
    <row r="76" spans="1:306" ht="20.100000000000001" customHeight="1" x14ac:dyDescent="0.3">
      <c r="A76" s="84" t="s">
        <v>20</v>
      </c>
      <c r="B76" s="53"/>
      <c r="C76" s="160"/>
      <c r="D76" s="132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75"/>
    </row>
    <row r="77" spans="1:306" ht="20.100000000000001" customHeight="1" x14ac:dyDescent="0.25">
      <c r="A77" s="84" t="s">
        <v>19</v>
      </c>
      <c r="B77" s="53"/>
      <c r="C77" s="159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75"/>
    </row>
    <row r="78" spans="1:306" ht="20.100000000000001" customHeight="1" x14ac:dyDescent="0.25">
      <c r="A78" s="84" t="s">
        <v>20</v>
      </c>
      <c r="B78" s="53"/>
      <c r="C78" s="161"/>
      <c r="D78" s="131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75"/>
    </row>
    <row r="79" spans="1:306" ht="20.100000000000001" customHeight="1" x14ac:dyDescent="0.25">
      <c r="A79" s="84" t="s">
        <v>19</v>
      </c>
      <c r="B79" s="53"/>
      <c r="C79" s="159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75"/>
    </row>
    <row r="80" spans="1:306" ht="20.100000000000001" customHeight="1" x14ac:dyDescent="0.3">
      <c r="A80" s="84" t="s">
        <v>20</v>
      </c>
      <c r="B80" s="53"/>
      <c r="C80" s="160"/>
      <c r="D80" s="132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75"/>
    </row>
    <row r="81" spans="1:306" ht="20.100000000000001" customHeight="1" x14ac:dyDescent="0.25">
      <c r="A81" s="84" t="s">
        <v>19</v>
      </c>
      <c r="B81" s="53"/>
      <c r="C81" s="159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75"/>
    </row>
    <row r="82" spans="1:306" ht="20.100000000000001" customHeight="1" x14ac:dyDescent="0.3">
      <c r="A82" s="84" t="s">
        <v>20</v>
      </c>
      <c r="B82" s="53"/>
      <c r="C82" s="160"/>
      <c r="D82" s="132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75"/>
    </row>
    <row r="83" spans="1:306" ht="20.100000000000001" customHeight="1" x14ac:dyDescent="0.25">
      <c r="A83" s="84" t="s">
        <v>19</v>
      </c>
      <c r="B83" s="53"/>
      <c r="C83" s="159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75"/>
    </row>
    <row r="84" spans="1:306" ht="20.100000000000001" customHeight="1" x14ac:dyDescent="0.25">
      <c r="A84" s="84" t="s">
        <v>20</v>
      </c>
      <c r="B84" s="53"/>
      <c r="C84" s="161"/>
      <c r="D84" s="131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75"/>
    </row>
    <row r="85" spans="1:306" ht="20.100000000000001" customHeight="1" x14ac:dyDescent="0.25">
      <c r="A85" s="84" t="s">
        <v>19</v>
      </c>
      <c r="B85" s="53"/>
      <c r="C85" s="159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75"/>
    </row>
    <row r="86" spans="1:306" ht="20.100000000000001" customHeight="1" x14ac:dyDescent="0.3">
      <c r="A86" s="84" t="s">
        <v>20</v>
      </c>
      <c r="B86" s="53"/>
      <c r="C86" s="160"/>
      <c r="D86" s="132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75"/>
    </row>
    <row r="87" spans="1:306" ht="20.100000000000001" customHeight="1" x14ac:dyDescent="0.25">
      <c r="A87" s="84" t="s">
        <v>19</v>
      </c>
      <c r="B87" s="53"/>
      <c r="C87" s="159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75"/>
    </row>
    <row r="88" spans="1:306" ht="20.100000000000001" customHeight="1" x14ac:dyDescent="0.25">
      <c r="A88" s="84" t="s">
        <v>20</v>
      </c>
      <c r="B88" s="53"/>
      <c r="C88" s="161"/>
      <c r="D88" s="131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75"/>
    </row>
    <row r="89" spans="1:306" ht="20.100000000000001" customHeight="1" x14ac:dyDescent="0.25">
      <c r="A89" s="84" t="s">
        <v>19</v>
      </c>
      <c r="B89" s="53"/>
      <c r="C89" s="159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75"/>
    </row>
    <row r="90" spans="1:306" ht="20.100000000000001" customHeight="1" x14ac:dyDescent="0.3">
      <c r="A90" s="84" t="s">
        <v>20</v>
      </c>
      <c r="B90" s="53"/>
      <c r="C90" s="160"/>
      <c r="D90" s="132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75"/>
    </row>
    <row r="91" spans="1:306" ht="20.100000000000001" customHeight="1" x14ac:dyDescent="0.25">
      <c r="A91" s="84" t="s">
        <v>19</v>
      </c>
      <c r="B91" s="53"/>
      <c r="C91" s="159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75"/>
    </row>
    <row r="92" spans="1:306" ht="20.100000000000001" customHeight="1" x14ac:dyDescent="0.3">
      <c r="A92" s="84" t="s">
        <v>20</v>
      </c>
      <c r="B92" s="53"/>
      <c r="C92" s="160"/>
      <c r="D92" s="132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75"/>
    </row>
    <row r="93" spans="1:306" ht="20.100000000000001" customHeight="1" x14ac:dyDescent="0.25">
      <c r="A93" s="84" t="s">
        <v>19</v>
      </c>
      <c r="B93" s="53"/>
      <c r="C93" s="159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75"/>
    </row>
    <row r="94" spans="1:306" ht="20.100000000000001" customHeight="1" x14ac:dyDescent="0.25">
      <c r="A94" s="84" t="s">
        <v>20</v>
      </c>
      <c r="B94" s="53"/>
      <c r="C94" s="161"/>
      <c r="D94" s="131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75"/>
    </row>
    <row r="95" spans="1:306" ht="20.100000000000001" customHeight="1" x14ac:dyDescent="0.25">
      <c r="B95" s="53"/>
      <c r="C95" s="177" t="s">
        <v>9</v>
      </c>
      <c r="D95" s="178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75"/>
    </row>
    <row r="96" spans="1:306" ht="20.100000000000001" customHeight="1" thickBot="1" x14ac:dyDescent="0.3">
      <c r="B96" s="53"/>
      <c r="C96" s="179"/>
      <c r="D96" s="180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75"/>
    </row>
    <row r="97" spans="2:306" ht="20.100000000000001" customHeight="1" x14ac:dyDescent="0.25">
      <c r="B97" s="53"/>
      <c r="C97" s="173" t="s">
        <v>10</v>
      </c>
      <c r="D97" s="174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108"/>
    </row>
    <row r="98" spans="2:306" ht="20.100000000000001" customHeight="1" thickBot="1" x14ac:dyDescent="0.3">
      <c r="B98" s="53"/>
      <c r="C98" s="175"/>
      <c r="D98" s="176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75"/>
    </row>
    <row r="99" spans="2:3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6"/>
    </row>
  </sheetData>
  <sheetProtection insertRows="0" insertHyperlinks="0" selectLockedCells="1"/>
  <mergeCells count="115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disablePrompts="1"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C7" sqref="C7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57031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67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7">
        <v>1</v>
      </c>
      <c r="C2" s="147"/>
      <c r="D2" s="67" t="s">
        <v>14</v>
      </c>
      <c r="E2" s="79">
        <v>46146</v>
      </c>
      <c r="F2" s="110" t="s">
        <v>49</v>
      </c>
      <c r="G2" s="39"/>
    </row>
    <row r="3" spans="1:7" s="40" customFormat="1" ht="30" customHeight="1" thickBot="1" x14ac:dyDescent="0.3">
      <c r="A3" s="65" t="s">
        <v>5</v>
      </c>
      <c r="B3" s="134" t="s">
        <v>41</v>
      </c>
      <c r="C3" s="135"/>
      <c r="D3" s="65" t="s">
        <v>12</v>
      </c>
      <c r="E3" s="189" t="s">
        <v>13</v>
      </c>
      <c r="F3" s="190"/>
      <c r="G3" s="39"/>
    </row>
    <row r="4" spans="1:7" s="44" customFormat="1" x14ac:dyDescent="0.3">
      <c r="A4" s="41"/>
      <c r="B4" s="42"/>
      <c r="C4" s="136" t="str">
        <f xml:space="preserve"> IF(B4="","",setValueToTime(B4))</f>
        <v/>
      </c>
      <c r="D4" s="43"/>
      <c r="E4" s="191"/>
      <c r="F4" s="192"/>
      <c r="G4" s="3"/>
    </row>
    <row r="5" spans="1:7" s="44" customFormat="1" x14ac:dyDescent="0.3">
      <c r="A5" s="45"/>
      <c r="B5" s="46"/>
      <c r="C5" s="137" t="str">
        <f t="shared" ref="C5:C11" si="0" xml:space="preserve"> IF(B5="","",setValueToTime(B5))</f>
        <v/>
      </c>
      <c r="D5" s="47"/>
      <c r="E5" s="183"/>
      <c r="F5" s="184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3"/>
      <c r="F6" s="184"/>
      <c r="G6" s="3"/>
    </row>
    <row r="7" spans="1:7" s="44" customFormat="1" x14ac:dyDescent="0.3">
      <c r="A7" s="45"/>
      <c r="B7" s="46"/>
      <c r="C7" s="137" t="str">
        <f t="shared" si="0"/>
        <v/>
      </c>
      <c r="D7" s="47"/>
      <c r="E7" s="183"/>
      <c r="F7" s="184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3"/>
      <c r="F8" s="184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3"/>
      <c r="F9" s="184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183"/>
      <c r="F10" s="184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185"/>
      <c r="F11" s="186"/>
      <c r="G11" s="3"/>
    </row>
    <row r="12" spans="1:7" s="44" customFormat="1" ht="15" thickBot="1" x14ac:dyDescent="0.35">
      <c r="A12" s="95" t="s">
        <v>28</v>
      </c>
      <c r="B12" s="69">
        <f>SUM(B4:B11)</f>
        <v>0</v>
      </c>
      <c r="C12" s="95" t="str">
        <f xml:space="preserve"> setValueToTime(B12)</f>
        <v>0h</v>
      </c>
      <c r="D12" s="104"/>
      <c r="E12" s="187"/>
      <c r="F12" s="188"/>
      <c r="G12" s="3"/>
    </row>
    <row r="13" spans="1:7" s="44" customFormat="1" x14ac:dyDescent="0.3">
      <c r="A13" s="64"/>
      <c r="B13" s="64"/>
      <c r="C13" s="64"/>
      <c r="D13" s="64"/>
      <c r="E13" s="64"/>
      <c r="F13" s="64"/>
      <c r="G13" s="3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6C608F35-EA39-4C5C-81E5-F1A5F4DBFD2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" xr:uid="{770D6E24-FE4B-4804-AFA7-537D28ADEC61}">
      <formula1>0</formula1>
    </dataValidation>
    <dataValidation type="list" allowBlank="1" showInputMessage="1" showErrorMessage="1" sqref="A4:A11" xr:uid="{B29E2FAC-0EEA-404B-A157-04629C48F46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F2" sqref="F2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11</v>
      </c>
      <c r="B2" s="148">
        <v>1</v>
      </c>
      <c r="C2" s="148"/>
      <c r="D2" s="141" t="s">
        <v>14</v>
      </c>
      <c r="E2" s="142" t="s">
        <v>50</v>
      </c>
      <c r="F2" s="143" t="s">
        <v>49</v>
      </c>
      <c r="G2" s="39"/>
    </row>
    <row r="3" spans="1:7" s="40" customFormat="1" ht="30" customHeight="1" thickBot="1" x14ac:dyDescent="0.3">
      <c r="A3" s="63" t="s">
        <v>5</v>
      </c>
      <c r="B3" s="145" t="s">
        <v>41</v>
      </c>
      <c r="C3" s="144"/>
      <c r="D3" s="63" t="s">
        <v>12</v>
      </c>
      <c r="E3" s="195" t="s">
        <v>13</v>
      </c>
      <c r="F3" s="196"/>
      <c r="G3" s="39"/>
    </row>
    <row r="4" spans="1:7" s="44" customFormat="1" x14ac:dyDescent="0.3">
      <c r="A4" s="41"/>
      <c r="B4" s="42"/>
      <c r="C4" s="136" t="str">
        <f xml:space="preserve"> IF(B4="","",setValueToTime(B4))</f>
        <v/>
      </c>
      <c r="D4" s="43"/>
      <c r="E4" s="191"/>
      <c r="F4" s="192"/>
      <c r="G4" s="3"/>
    </row>
    <row r="5" spans="1:7" s="44" customFormat="1" x14ac:dyDescent="0.3">
      <c r="A5" s="45"/>
      <c r="B5" s="46"/>
      <c r="C5" s="137" t="str">
        <f t="shared" ref="C5:C11" si="0" xml:space="preserve"> IF(B5="","",setValueToTime(B5))</f>
        <v/>
      </c>
      <c r="D5" s="47"/>
      <c r="E5" s="183"/>
      <c r="F5" s="184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3"/>
      <c r="F6" s="184"/>
      <c r="G6" s="3"/>
    </row>
    <row r="7" spans="1:7" s="44" customFormat="1" x14ac:dyDescent="0.3">
      <c r="A7" s="45"/>
      <c r="B7" s="46"/>
      <c r="C7" s="137" t="str">
        <f t="shared" si="0"/>
        <v/>
      </c>
      <c r="D7" s="47"/>
      <c r="E7" s="183"/>
      <c r="F7" s="184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3"/>
      <c r="F8" s="184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3"/>
      <c r="F9" s="184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183"/>
      <c r="F10" s="184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185"/>
      <c r="F11" s="186"/>
      <c r="G11" s="3"/>
    </row>
    <row r="12" spans="1:7" s="44" customFormat="1" ht="15" thickBot="1" x14ac:dyDescent="0.35">
      <c r="A12" s="146" t="s">
        <v>28</v>
      </c>
      <c r="B12" s="68">
        <f>SUM(B4:B11)</f>
        <v>0</v>
      </c>
      <c r="C12" s="146" t="str">
        <f xml:space="preserve"> setValueToTime(B12)</f>
        <v>0h</v>
      </c>
      <c r="D12" s="105"/>
      <c r="E12" s="193"/>
      <c r="F12" s="194"/>
      <c r="G12" s="3"/>
    </row>
    <row r="13" spans="1:7" s="44" customFormat="1" x14ac:dyDescent="0.3">
      <c r="A13" s="62"/>
      <c r="B13" s="62"/>
      <c r="C13" s="62"/>
      <c r="D13" s="62"/>
      <c r="E13" s="62"/>
      <c r="F13" s="62"/>
      <c r="G13" s="3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D7D3BC9F-CF89-45D5-AB68-FE101E6A0647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CA5ADC00-E3FE-460C-BF20-8CA3ABD7FA33}">
      <formula1>0</formula1>
      <formula2>60</formula2>
    </dataValidation>
    <dataValidation type="list" allowBlank="1" showInputMessage="1" showErrorMessage="1" sqref="A4:A11" xr:uid="{EEC2039F-942D-4C35-9E3F-3D66C77B201F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49"/>
      <c r="B10" s="149"/>
      <c r="C10" s="149"/>
      <c r="D10" s="149"/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  <c r="BH10" s="149"/>
      <c r="BI10" s="75"/>
    </row>
    <row r="11" spans="1:61" ht="18" x14ac:dyDescent="0.25">
      <c r="A11" s="150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75"/>
    </row>
    <row r="12" spans="1:61" ht="18.75" thickBot="1" x14ac:dyDescent="0.3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75"/>
    </row>
    <row r="13" spans="1:61" ht="18.75" thickBot="1" x14ac:dyDescent="0.3">
      <c r="A13" s="152" t="s">
        <v>11</v>
      </c>
      <c r="B13" s="153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4"/>
      <c r="BI13" s="75"/>
    </row>
    <row r="14" spans="1:61" ht="15.75" thickBot="1" x14ac:dyDescent="0.35">
      <c r="A14" s="87"/>
      <c r="B14" s="88"/>
      <c r="C14" s="88"/>
      <c r="D14" s="88"/>
      <c r="E14" s="155" t="s">
        <v>35</v>
      </c>
      <c r="F14" s="155"/>
      <c r="G14" s="155"/>
      <c r="H14" s="155"/>
      <c r="I14" s="88"/>
      <c r="J14" s="88"/>
      <c r="K14" s="156" t="s">
        <v>23</v>
      </c>
      <c r="L14" s="156"/>
      <c r="M14" s="156"/>
      <c r="N14" s="156"/>
      <c r="O14" s="112"/>
      <c r="P14" s="112"/>
      <c r="Q14" s="155" t="s">
        <v>36</v>
      </c>
      <c r="R14" s="155"/>
      <c r="S14" s="155"/>
      <c r="T14" s="155"/>
      <c r="U14" s="88"/>
      <c r="V14" s="88"/>
      <c r="W14" s="156" t="s">
        <v>24</v>
      </c>
      <c r="X14" s="156"/>
      <c r="Y14" s="156"/>
      <c r="Z14" s="156"/>
      <c r="AA14" s="112"/>
      <c r="AB14" s="112"/>
      <c r="AC14" s="155" t="s">
        <v>37</v>
      </c>
      <c r="AD14" s="155"/>
      <c r="AE14" s="155"/>
      <c r="AF14" s="155"/>
      <c r="AG14" s="88"/>
      <c r="AH14" s="88"/>
      <c r="AI14" s="156" t="s">
        <v>25</v>
      </c>
      <c r="AJ14" s="156"/>
      <c r="AK14" s="156"/>
      <c r="AL14" s="156"/>
      <c r="AM14" s="112"/>
      <c r="AN14" s="112"/>
      <c r="AO14" s="155" t="s">
        <v>38</v>
      </c>
      <c r="AP14" s="155"/>
      <c r="AQ14" s="155"/>
      <c r="AR14" s="155"/>
      <c r="AS14" s="88"/>
      <c r="AT14" s="88"/>
      <c r="AU14" s="156" t="s">
        <v>26</v>
      </c>
      <c r="AV14" s="156"/>
      <c r="AW14" s="156"/>
      <c r="AX14" s="156"/>
      <c r="AY14" s="112"/>
      <c r="AZ14" s="112"/>
      <c r="BA14" s="155" t="s">
        <v>39</v>
      </c>
      <c r="BB14" s="155"/>
      <c r="BC14" s="155"/>
      <c r="BD14" s="155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7">
        <v>1</v>
      </c>
      <c r="C1" s="147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41</v>
      </c>
      <c r="C2" s="135"/>
      <c r="D2" s="65" t="s">
        <v>12</v>
      </c>
      <c r="E2" s="189" t="s">
        <v>13</v>
      </c>
      <c r="F2" s="190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1"/>
      <c r="F3" s="192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3"/>
      <c r="F4" s="184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3"/>
      <c r="F5" s="184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3"/>
      <c r="F6" s="184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3"/>
      <c r="F7" s="184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3"/>
      <c r="F8" s="184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3"/>
      <c r="F9" s="184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85"/>
      <c r="F10" s="186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187"/>
      <c r="F11" s="188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11</v>
      </c>
      <c r="B1" s="148">
        <v>1</v>
      </c>
      <c r="C1" s="148"/>
      <c r="D1" s="141" t="s">
        <v>14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41</v>
      </c>
      <c r="C2" s="144"/>
      <c r="D2" s="63" t="s">
        <v>12</v>
      </c>
      <c r="E2" s="195" t="s">
        <v>13</v>
      </c>
      <c r="F2" s="196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1"/>
      <c r="F3" s="192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3"/>
      <c r="F4" s="184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3"/>
      <c r="F5" s="184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3"/>
      <c r="F6" s="184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3"/>
      <c r="F7" s="184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3"/>
      <c r="F8" s="184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3"/>
      <c r="F9" s="184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85"/>
      <c r="F10" s="186"/>
      <c r="G10" s="3"/>
    </row>
    <row r="11" spans="1:7" s="44" customFormat="1" ht="15" thickBot="1" x14ac:dyDescent="0.35">
      <c r="A11" s="146" t="s">
        <v>28</v>
      </c>
      <c r="B11" s="68">
        <f>SUM(B3:B10)</f>
        <v>0</v>
      </c>
      <c r="C11" s="146" t="str">
        <f xml:space="preserve"> setValueToTime(B11)</f>
        <v>0h</v>
      </c>
      <c r="D11" s="105"/>
      <c r="E11" s="193"/>
      <c r="F11" s="194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3f9d718-8695-44fe-93c7-a4e5ea258f1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CB22F1547D7D4F82919EC743CAACBC" ma:contentTypeVersion="18" ma:contentTypeDescription="Crée un document." ma:contentTypeScope="" ma:versionID="84e1f9e1ba832049b427e068510a2d1d">
  <xsd:schema xmlns:xsd="http://www.w3.org/2001/XMLSchema" xmlns:xs="http://www.w3.org/2001/XMLSchema" xmlns:p="http://schemas.microsoft.com/office/2006/metadata/properties" xmlns:ns3="83f9d718-8695-44fe-93c7-a4e5ea258f1b" xmlns:ns4="aaa9772f-a032-4180-ab8e-8699b78d9e7a" targetNamespace="http://schemas.microsoft.com/office/2006/metadata/properties" ma:root="true" ma:fieldsID="2ee70679b44c0ce32eb30d29d64ebac4" ns3:_="" ns4:_="">
    <xsd:import namespace="83f9d718-8695-44fe-93c7-a4e5ea258f1b"/>
    <xsd:import namespace="aaa9772f-a032-4180-ab8e-8699b78d9e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f9d718-8695-44fe-93c7-a4e5ea258f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a9772f-a032-4180-ab8e-8699b78d9e7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aaa9772f-a032-4180-ab8e-8699b78d9e7a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83f9d718-8695-44fe-93c7-a4e5ea258f1b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409306-E31C-4F4B-8791-EE46652586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f9d718-8695-44fe-93c7-a4e5ea258f1b"/>
    <ds:schemaRef ds:uri="aaa9772f-a032-4180-ab8e-8699b78d9e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Napoleone</dc:creator>
  <cp:lastModifiedBy>Cyril Napoleone</cp:lastModifiedBy>
  <cp:lastPrinted>2019-05-08T10:31:53Z</cp:lastPrinted>
  <dcterms:created xsi:type="dcterms:W3CDTF">1996-10-21T11:03:58Z</dcterms:created>
  <dcterms:modified xsi:type="dcterms:W3CDTF">2026-05-04T08:15:39Z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0x0101008FCB22F1547D7D4F82919EC743CAACBC</vt:lpwstr>
  </property>
  <property fmtid="{D5CDD505-2E9C-101B-9397-08002B2CF9AE}" pid="3" name="Order">
    <vt:r8>54600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